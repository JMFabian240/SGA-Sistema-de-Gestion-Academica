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7c32b9633740c2/Escritorio/"/>
    </mc:Choice>
  </mc:AlternateContent>
  <xr:revisionPtr revIDLastSave="4" documentId="13_ncr:1_{CD4C4E23-9550-4F32-A947-59F84AC4D2FC}" xr6:coauthVersionLast="47" xr6:coauthVersionMax="47" xr10:uidLastSave="{C71EACA2-3A39-46B4-A559-F7E21E657DCD}"/>
  <bookViews>
    <workbookView xWindow="-108" yWindow="-108" windowWidth="23256" windowHeight="12456" tabRatio="894" activeTab="17" xr2:uid="{00000000-000D-0000-FFFF-FFFF00000000}"/>
  </bookViews>
  <sheets>
    <sheet name="1°K" sheetId="12" r:id="rId1"/>
    <sheet name="2°K" sheetId="1" r:id="rId2"/>
    <sheet name="3°K" sheetId="2" r:id="rId3"/>
    <sheet name="1°P" sheetId="3" r:id="rId4"/>
    <sheet name="2°P" sheetId="4" r:id="rId5"/>
    <sheet name="3° P" sheetId="5" r:id="rId6"/>
    <sheet name="4°P" sheetId="6" r:id="rId7"/>
    <sheet name="5°P" sheetId="7" r:id="rId8"/>
    <sheet name="6°P" sheetId="8" r:id="rId9"/>
    <sheet name="1°S" sheetId="9" r:id="rId10"/>
    <sheet name="2°S" sheetId="10" r:id="rId11"/>
    <sheet name="3°S" sheetId="11" r:id="rId12"/>
    <sheet name="1-2°B" sheetId="13" r:id="rId13"/>
    <sheet name="3-4°B" sheetId="14" r:id="rId14"/>
    <sheet name="5-6°B" sheetId="16" r:id="rId15"/>
    <sheet name="MATRICULA" sheetId="15" r:id="rId16"/>
    <sheet name="CONTROL FACTURACION" sheetId="17" r:id="rId17"/>
    <sheet name="ADEUDOS" sheetId="19" r:id="rId18"/>
  </sheets>
  <externalReferences>
    <externalReference r:id="rId19"/>
  </externalReferences>
  <definedNames>
    <definedName name="_xlnm._FilterDatabase" localSheetId="3" hidden="1">'1°P'!$B$7:$X$7</definedName>
    <definedName name="_xlnm._FilterDatabase" localSheetId="2" hidden="1">'3°K'!$B$7:$X$7</definedName>
    <definedName name="_xlnm._FilterDatabase" localSheetId="6" hidden="1">'4°P'!$B$7:$X$7</definedName>
    <definedName name="_xlnm._FilterDatabase" localSheetId="8" hidden="1">'6°P'!$B$7:$X$7</definedName>
    <definedName name="_xlnm.Print_Area" localSheetId="17">ADEUDOS!$B$2:$H$59</definedName>
  </definedNames>
  <calcPr calcId="191029"/>
</workbook>
</file>

<file path=xl/calcChain.xml><?xml version="1.0" encoding="utf-8"?>
<calcChain xmlns="http://schemas.openxmlformats.org/spreadsheetml/2006/main">
  <c r="G27" i="7" l="1"/>
  <c r="AL35" i="16"/>
  <c r="C57" i="19" l="1"/>
  <c r="G59" i="19" s="1"/>
  <c r="D57" i="19"/>
  <c r="E57" i="19"/>
  <c r="F57" i="19"/>
  <c r="G57" i="19"/>
  <c r="B51" i="19" l="1"/>
  <c r="B43" i="19"/>
  <c r="B38" i="19"/>
  <c r="AL49" i="9" l="1"/>
  <c r="B21" i="19" l="1"/>
  <c r="B25" i="19" l="1"/>
  <c r="B24" i="19"/>
  <c r="B19" i="19"/>
  <c r="AC41" i="11" l="1"/>
  <c r="AF50" i="10" l="1"/>
  <c r="AO36" i="4"/>
  <c r="AC36" i="4"/>
  <c r="D47" i="5"/>
  <c r="D43" i="9" l="1"/>
  <c r="Z41" i="11"/>
  <c r="D47" i="7" l="1"/>
  <c r="AI45" i="3"/>
  <c r="B14" i="17"/>
  <c r="B13" i="17"/>
  <c r="N57" i="3"/>
  <c r="N55" i="3"/>
  <c r="N54" i="3"/>
  <c r="D65" i="10"/>
  <c r="D63" i="10"/>
  <c r="D64" i="10"/>
  <c r="D62" i="10"/>
  <c r="D42" i="11"/>
  <c r="D43" i="11"/>
  <c r="D44" i="11"/>
  <c r="D39" i="11"/>
  <c r="D40" i="11"/>
  <c r="D41" i="11"/>
  <c r="D37" i="6"/>
  <c r="D38" i="6"/>
  <c r="D39" i="6"/>
  <c r="D25" i="1"/>
  <c r="D23" i="1"/>
  <c r="D24" i="1"/>
  <c r="D22" i="1"/>
  <c r="D48" i="9"/>
  <c r="D49" i="9"/>
  <c r="D33" i="16"/>
  <c r="D34" i="16"/>
  <c r="D35" i="16"/>
  <c r="D32" i="16"/>
  <c r="D41" i="3"/>
  <c r="D42" i="3"/>
  <c r="D64" i="5"/>
  <c r="D65" i="5"/>
  <c r="D52" i="8"/>
  <c r="D53" i="8"/>
  <c r="D54" i="8"/>
  <c r="D55" i="8"/>
  <c r="D56" i="8"/>
  <c r="D46" i="7"/>
  <c r="D52" i="4"/>
  <c r="D50" i="4"/>
  <c r="D51" i="4"/>
  <c r="D34" i="7"/>
  <c r="D35" i="7"/>
  <c r="D36" i="7"/>
  <c r="D37" i="7"/>
  <c r="D38" i="7"/>
  <c r="D39" i="7"/>
  <c r="D40" i="7"/>
  <c r="D41" i="7"/>
  <c r="D42" i="7"/>
  <c r="D43" i="7"/>
  <c r="D44" i="7"/>
  <c r="D45" i="7"/>
  <c r="D33" i="7"/>
  <c r="H6" i="15"/>
  <c r="D43" i="5"/>
  <c r="D44" i="5"/>
  <c r="D45" i="5"/>
  <c r="D46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42" i="5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39" i="10"/>
  <c r="D49" i="4"/>
  <c r="D48" i="4"/>
  <c r="D51" i="8" l="1"/>
  <c r="D38" i="11"/>
  <c r="D36" i="6"/>
  <c r="D33" i="6"/>
  <c r="D34" i="6"/>
  <c r="D35" i="6"/>
  <c r="D32" i="6"/>
  <c r="D50" i="8" l="1"/>
  <c r="D49" i="8"/>
  <c r="D48" i="8"/>
  <c r="D47" i="8"/>
  <c r="D40" i="8"/>
  <c r="D41" i="8"/>
  <c r="D42" i="8"/>
  <c r="D43" i="8"/>
  <c r="D44" i="8"/>
  <c r="D45" i="8"/>
  <c r="D46" i="8"/>
  <c r="D39" i="8"/>
  <c r="D40" i="9"/>
  <c r="D41" i="9"/>
  <c r="D42" i="9"/>
  <c r="D44" i="9"/>
  <c r="D45" i="9"/>
  <c r="D46" i="9"/>
  <c r="D47" i="9"/>
  <c r="D39" i="9"/>
  <c r="D37" i="4"/>
  <c r="D38" i="4"/>
  <c r="D39" i="4"/>
  <c r="D40" i="4"/>
  <c r="D41" i="4"/>
  <c r="D42" i="4"/>
  <c r="D43" i="4"/>
  <c r="D44" i="4"/>
  <c r="D45" i="4"/>
  <c r="D46" i="4"/>
  <c r="D47" i="4"/>
  <c r="D36" i="4"/>
  <c r="D23" i="2"/>
  <c r="D24" i="2"/>
  <c r="D22" i="2"/>
  <c r="D38" i="3"/>
  <c r="D39" i="3"/>
  <c r="D40" i="3"/>
  <c r="D33" i="11"/>
  <c r="D34" i="11"/>
  <c r="D35" i="11"/>
  <c r="D36" i="11"/>
  <c r="D37" i="11"/>
  <c r="D32" i="11"/>
  <c r="D34" i="3" l="1"/>
  <c r="D35" i="3"/>
  <c r="D36" i="3"/>
  <c r="D37" i="3"/>
  <c r="D31" i="3"/>
  <c r="D32" i="3"/>
  <c r="D33" i="3"/>
  <c r="D30" i="3"/>
  <c r="H5" i="15"/>
  <c r="K7" i="15" l="1"/>
  <c r="D23" i="12" l="1"/>
  <c r="D24" i="12"/>
  <c r="D22" i="12"/>
  <c r="AB8" i="1" l="1"/>
  <c r="AC8" i="1" s="1"/>
  <c r="AB7" i="1"/>
  <c r="AC7" i="1" s="1"/>
  <c r="Z12" i="7" l="1"/>
  <c r="Z13" i="7" s="1"/>
  <c r="K5" i="15" l="1"/>
  <c r="H7" i="15"/>
  <c r="E8" i="15"/>
  <c r="E7" i="15"/>
  <c r="B5" i="15"/>
  <c r="B6" i="15"/>
  <c r="B7" i="15"/>
  <c r="K11" i="15" l="1"/>
  <c r="E10" i="15"/>
  <c r="E9" i="15"/>
  <c r="E6" i="15"/>
  <c r="E5" i="15"/>
  <c r="A1" i="15"/>
  <c r="Y8" i="2"/>
  <c r="E11" i="15" l="1"/>
  <c r="H11" i="15"/>
  <c r="B11" i="15"/>
  <c r="O7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Colegio San Diego</author>
    <author>Norma Ibarra</author>
  </authors>
  <commentList>
    <comment ref="O16" authorId="0" shapeId="0" xr:uid="{5CE06730-51C8-4ADD-A468-8E1CA0612464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Liquida el 11/08 con $2900.00 tenia previo un abono por $3000.00
</t>
        </r>
      </text>
    </comment>
    <comment ref="O17" authorId="0" shapeId="0" xr:uid="{42175C76-22EF-4886-A927-D3D36B5A4E86}">
      <text>
        <r>
          <rPr>
            <b/>
            <sz val="9"/>
            <color indexed="81"/>
            <rFont val="Tahoma"/>
            <family val="2"/>
          </rPr>
          <t xml:space="preserve">1ero pago 2000 el dia 17/07/25 y segundo pago de 3900 el día 08/08/25 para liquidar
</t>
        </r>
      </text>
    </comment>
    <comment ref="D18" authorId="0" shapeId="0" xr:uid="{65FFF621-69F7-4615-9AB9-64278F99A481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Se le ofrece 30% de descuento en arancel y material ya que vienen del simon bolivar 
</t>
        </r>
      </text>
    </comment>
    <comment ref="K46" authorId="1" shapeId="0" xr:uid="{00000000-0006-0000-0300-000001000000}">
      <text>
        <r>
          <rPr>
            <b/>
            <sz val="9"/>
            <color indexed="81"/>
            <rFont val="Tahoma"/>
            <family val="2"/>
          </rPr>
          <t>Norma Ibarra:</t>
        </r>
        <r>
          <rPr>
            <sz val="9"/>
            <color indexed="81"/>
            <rFont val="Tahoma"/>
            <family val="2"/>
          </rPr>
          <t xml:space="preserve">
1er abono 1500
2do abono 300
3er abono 200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Colegio San Diego</author>
  </authors>
  <commentList>
    <comment ref="AC36" authorId="0" shapeId="0" xr:uid="{50724A07-7EC4-44D6-8086-9FEE3BBD168A}">
      <text>
        <r>
          <rPr>
            <b/>
            <sz val="9"/>
            <color indexed="81"/>
            <rFont val="Tahoma"/>
            <family val="2"/>
          </rPr>
          <t xml:space="preserve">Colegio San Diego:
</t>
        </r>
        <r>
          <rPr>
            <sz val="9"/>
            <color indexed="81"/>
            <rFont val="Tahoma"/>
            <family val="2"/>
          </rPr>
          <t>Rrealiza dos abonos uno de 1500 y 500, envia comprobantes el dia 18 de mayo de 2026.
Se aplican 600 de la colegiatura pagada el 25 de mayo 2026.</t>
        </r>
      </text>
    </comment>
    <comment ref="AF36" authorId="0" shapeId="0" xr:uid="{95350F7E-A09D-4C6C-AAF5-B7EA4FDB05E1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Se toman 2,600, de la colegiatura enviada el 25 de mayo de 2026, por 4000
</t>
        </r>
      </text>
    </comment>
    <comment ref="AI36" authorId="0" shapeId="0" xr:uid="{C388AA06-9EC5-4591-9192-50493CB23F8E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se toman 800, de la colegiatura enviada el 25 de mayo de 2026 por $4,000.00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Colegio San Diego</author>
  </authors>
  <commentList>
    <comment ref="O20" authorId="0" shapeId="0" xr:uid="{8DA7AF46-5D44-41B5-AA17-9163576867EB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PAGARÓN 1 COLEGIATURA DE MÁS, ASÍ QUE PASA A ABONO DE LIBROS. LIQUIDARON EL 16/07/2025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Colegio San Diego</author>
  </authors>
  <commentList>
    <comment ref="O17" authorId="0" shapeId="0" xr:uid="{D445D3F4-6FFB-4CD2-A148-3E8FAC00C120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PAGARÓN 1 COLEGIATURA DE MÁS, ASÍ QUE PASA A ABONO DE LIBROS. LIQUIDARON EL 16/07/2025
</t>
        </r>
      </text>
    </comment>
    <comment ref="D20" authorId="0" shapeId="0" xr:uid="{1CB39FCC-F9A5-4C3A-A129-B8A295BEF91D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Se les ofrece 30% de descuento en arancel y material ya que vienen del simon bolivar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Colegio San Diego</author>
  </authors>
  <commentList>
    <comment ref="O11" authorId="0" shapeId="0" xr:uid="{740FCC98-DE30-4AFD-877B-841C38E885DA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Tiene $1813 de saldo a favor, abona $3000.00 el día 05/08/2025
liquida con $2387.00 el 05/02025</t>
        </r>
      </text>
    </comment>
    <comment ref="O21" authorId="0" shapeId="0" xr:uid="{F9DE44D3-5568-4667-BB50-3395D5E00145}">
      <text>
        <r>
          <rPr>
            <b/>
            <sz val="9"/>
            <color indexed="81"/>
            <rFont val="Tahoma"/>
            <family val="2"/>
          </rPr>
          <t xml:space="preserve">1ER ABN $2000.00 28/07/2025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Colegio San Diego</author>
  </authors>
  <commentList>
    <comment ref="E47" authorId="0" shapeId="0" xr:uid="{0FAAFE4C-EC08-479D-B48E-4D92E48B55E0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FACTURA DE LIBROS 2025-2026
</t>
        </r>
      </text>
    </comment>
    <comment ref="M78" authorId="0" shapeId="0" xr:uid="{A9EE6144-D31D-4137-9FFD-7ED3EFAA1022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Se cancela la 4081 ya que se emitió por error, aún no había hecho el pago. 
</t>
        </r>
      </text>
    </comment>
    <comment ref="F82" authorId="0" shapeId="0" xr:uid="{7A651EB9-CC19-495A-9D54-47DB056B0B25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Facturas amarilllas están a nombre de la mamá</t>
        </r>
      </text>
    </comment>
    <comment ref="I82" authorId="0" shapeId="0" xr:uid="{C53D15B8-C7C1-43CA-9DEF-9196AE0DD245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Facturas azueles están a nombre del papá</t>
        </r>
      </text>
    </comment>
    <comment ref="E99" authorId="0" shapeId="0" xr:uid="{D1D1BDB3-E895-4917-9E56-64EB1662D72E}">
      <text>
        <r>
          <rPr>
            <b/>
            <sz val="9"/>
            <color indexed="81"/>
            <rFont val="Tahoma"/>
            <family val="2"/>
          </rPr>
          <t>Colegio San Diego:</t>
        </r>
        <r>
          <rPr>
            <sz val="9"/>
            <color indexed="81"/>
            <rFont val="Tahoma"/>
            <family val="2"/>
          </rPr>
          <t xml:space="preserve">
FACTURA LIBROS 2025-2026</t>
        </r>
      </text>
    </comment>
  </commentList>
</comments>
</file>

<file path=xl/sharedStrings.xml><?xml version="1.0" encoding="utf-8"?>
<sst xmlns="http://schemas.openxmlformats.org/spreadsheetml/2006/main" count="3316" uniqueCount="849">
  <si>
    <t>Centro de Investigación Educativa  Colegio San Diego</t>
  </si>
  <si>
    <t xml:space="preserve">ACEPTADOS POR CORPORATIVO </t>
  </si>
  <si>
    <t>Punta el Campanario #183 Col. Bahia de San Martín CP 96536</t>
  </si>
  <si>
    <t xml:space="preserve">PAGOS DE HIJOS DE MAESTROS </t>
  </si>
  <si>
    <t>PREESCOLAR 30PJN1037Z       PRIMARIA 30PPR3773B      SECUNDARIA 30PES0033G</t>
  </si>
  <si>
    <t xml:space="preserve">MES PAGADO </t>
  </si>
  <si>
    <t xml:space="preserve">FACTURA </t>
  </si>
  <si>
    <t xml:space="preserve">ALUMNO DADO DE BAJA </t>
  </si>
  <si>
    <t>IRRIGULARIDADES</t>
  </si>
  <si>
    <t>N°</t>
  </si>
  <si>
    <t>MATRICULA</t>
  </si>
  <si>
    <t>NOMBRE DEL ALUMNO</t>
  </si>
  <si>
    <t>PROMOCION</t>
  </si>
  <si>
    <t>INSCRIPCION</t>
  </si>
  <si>
    <t>FOLIO</t>
  </si>
  <si>
    <t>FECHA</t>
  </si>
  <si>
    <t>MATERIAL</t>
  </si>
  <si>
    <t>ARANCEL</t>
  </si>
  <si>
    <t>LIBROS</t>
  </si>
  <si>
    <t>UNIFORMES</t>
  </si>
  <si>
    <t>PLAN PAGO</t>
  </si>
  <si>
    <t>BECA</t>
  </si>
  <si>
    <t>COLEG</t>
  </si>
  <si>
    <t>10 meses</t>
  </si>
  <si>
    <t>COLEGIATURA</t>
  </si>
  <si>
    <t>AGOSTO</t>
  </si>
  <si>
    <t>SEPTIEMBRE</t>
  </si>
  <si>
    <t>OCTUBRE</t>
  </si>
  <si>
    <t xml:space="preserve">NOVIEMBRE 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</si>
  <si>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</si>
  <si>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</si>
  <si>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</si>
  <si>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</si>
  <si>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</si>
  <si>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</si>
  <si>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</si>
  <si>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</si>
  <si>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MONTO</t>
  </si>
  <si>
    <t>TOTAL</t>
  </si>
  <si>
    <t>CICLO ESCOLAR 2024-2025</t>
  </si>
  <si>
    <t>PREESCOLAR</t>
  </si>
  <si>
    <t>PRIMARIA</t>
  </si>
  <si>
    <t>SECUNDARIA</t>
  </si>
  <si>
    <t>BACHILLERATO</t>
  </si>
  <si>
    <t>1ro</t>
  </si>
  <si>
    <t>2do</t>
  </si>
  <si>
    <t>MATRICULA TOTAL</t>
  </si>
  <si>
    <t>3ro</t>
  </si>
  <si>
    <t>4to</t>
  </si>
  <si>
    <t>5to</t>
  </si>
  <si>
    <t>6to</t>
  </si>
  <si>
    <t>krakens academy</t>
  </si>
  <si>
    <t>antonio100</t>
  </si>
  <si>
    <t>OSWALDO LOPEZ FONSECA</t>
  </si>
  <si>
    <t>NOVIEMBRE-DICIEMBRE</t>
  </si>
  <si>
    <t>DERECK BONILLA MARTINEZ</t>
  </si>
  <si>
    <t>ALEJANDRO DOMINGUEZ LAUREANO</t>
  </si>
  <si>
    <t>CARLOS DANIEL TRUJILLO RODRIGUEZ</t>
  </si>
  <si>
    <t>JOSÉ GABRIEL TRUJILLO RAMÍREZ</t>
  </si>
  <si>
    <t xml:space="preserve">RODRIGO SORIANO LAVÍN </t>
  </si>
  <si>
    <t>ANA ISABEL RODRIGUEZ CASTILLO</t>
  </si>
  <si>
    <t>JATZIRI KRISTEL ZURIANO FELIX</t>
  </si>
  <si>
    <t>ARIADNA SORIANO LAVIN</t>
  </si>
  <si>
    <t>CESAR BENHUR CASTAN OVANDO</t>
  </si>
  <si>
    <t>85902131894335200´</t>
  </si>
  <si>
    <t xml:space="preserve">LIAM SAEL RAMIREZ PEREA </t>
  </si>
  <si>
    <t>GRATIS</t>
  </si>
  <si>
    <t>DANAE GARCÍA JIMÉNEZ</t>
  </si>
  <si>
    <t>85906482800336200´</t>
  </si>
  <si>
    <t>GUTIERREZ VEGA JAZMIN ALEJANDRA</t>
  </si>
  <si>
    <t>GUTIERREZ VEGA DAYRA VANESA</t>
  </si>
  <si>
    <t xml:space="preserve">RAUL MANUEL HAMILTON ARIAS </t>
  </si>
  <si>
    <t>SF</t>
  </si>
  <si>
    <t xml:space="preserve">EVAN MATIAS ZARAGOZA MATINEZ </t>
  </si>
  <si>
    <t>JONATHAN DE JESÚS SALINAS TOLEDO</t>
  </si>
  <si>
    <t>ALICE YANELI SALINAS TOLEDO</t>
  </si>
  <si>
    <t xml:space="preserve">ISABELLA GALVEZ DÍAZ </t>
  </si>
  <si>
    <t>NUEVO INGRESO</t>
  </si>
  <si>
    <t>HANNA NICOLE SALOME GOMEZ</t>
  </si>
  <si>
    <t xml:space="preserve">JOEL BARZILAI JIMENEZ AGUIRRE </t>
  </si>
  <si>
    <t>GEORGINA FERNÁNDEZ THEUREL</t>
  </si>
  <si>
    <t xml:space="preserve">BRYAN YAEL RODRÍGUEZ LOPEZ </t>
  </si>
  <si>
    <t>CARLA SOFÍA JIMÉNEZ CRUZ</t>
  </si>
  <si>
    <t>4667997</t>
  </si>
  <si>
    <t>NATHALIA ITZAÉ JIMÉNEZ CRUZ</t>
  </si>
  <si>
    <t xml:space="preserve">JEAN CARLOS RICARDEZ VEGA </t>
  </si>
  <si>
    <t>KAORU HIGASHI ALCANTARA</t>
  </si>
  <si>
    <t>ENERO-FEBRERO</t>
  </si>
  <si>
    <t>ARANCEL AL 20% DE DESCUENTO</t>
  </si>
  <si>
    <t xml:space="preserve">20% DESCUENTO ARANCEL </t>
  </si>
  <si>
    <t>HSBC013246</t>
  </si>
  <si>
    <t>DOMINIC GUSTAVO NIVON OROZCO</t>
  </si>
  <si>
    <t>90510FS00962067214</t>
  </si>
  <si>
    <t>LUNA ALEJANDRA OSORIO CARBALLO</t>
  </si>
  <si>
    <t>ELISA ABIGAIL ALONSO ZAMORA</t>
  </si>
  <si>
    <t>ENERO FEBRERO</t>
  </si>
  <si>
    <t>8439639819</t>
  </si>
  <si>
    <t xml:space="preserve">CESAR MATEO CRUZ LANDA </t>
  </si>
  <si>
    <t xml:space="preserve">MEREDITH PAOLA LINARES LIMON </t>
  </si>
  <si>
    <t xml:space="preserve">THIAGO ALFONSO FUENTES </t>
  </si>
  <si>
    <t>HSBC5537</t>
  </si>
  <si>
    <t>EMIR ELÍAS GUZMÁN POSADAS</t>
  </si>
  <si>
    <t>ENERO- FEBRERO</t>
  </si>
  <si>
    <t>20% DESCUENTO ARANCEL</t>
  </si>
  <si>
    <t>JORGE GABRIEL SALVADOR MARTINEZ</t>
  </si>
  <si>
    <t>20% DESCTO EN ARANCEL</t>
  </si>
  <si>
    <t>TANIA ALEXA SALVADOR MARTINEZ</t>
  </si>
  <si>
    <t xml:space="preserve">JIMENNA SOFIA OCHA </t>
  </si>
  <si>
    <t xml:space="preserve">ENERO-FEBRERO </t>
  </si>
  <si>
    <t>RENATA VALENTINA LOPEZ CRUZ</t>
  </si>
  <si>
    <t>LUIS MARIO HERNANDEZ VARGAS</t>
  </si>
  <si>
    <t>HSBC343677</t>
  </si>
  <si>
    <t>MARIA ESTHER HERNANDEZ VARGAS</t>
  </si>
  <si>
    <t>HSBC344475</t>
  </si>
  <si>
    <t xml:space="preserve">NUEVO INGRESO </t>
  </si>
  <si>
    <t>ANGEL MATEO VELAZQUEZ GARCIA</t>
  </si>
  <si>
    <t>ERENDIRA DANAE SANTIAGO MARTINEZ</t>
  </si>
  <si>
    <t>ROMINA RODRIGUEZ PEREZ</t>
  </si>
  <si>
    <t>HECTOR MANUEL PONCE SANTIAGO</t>
  </si>
  <si>
    <t>EMILIANO PEREZ VELAZQUEZ</t>
  </si>
  <si>
    <t>EMILIANO NARVAEZ MARTINEZ</t>
  </si>
  <si>
    <t>LILIAN RENATA CORTEZ FUENTES</t>
  </si>
  <si>
    <t xml:space="preserve">ISABELLA FERNANDA PÉREZ </t>
  </si>
  <si>
    <t>ETHAN RAMIREZ ALOR</t>
  </si>
  <si>
    <t xml:space="preserve">NAYAN MARIN MARTINEZ </t>
  </si>
  <si>
    <t xml:space="preserve">REINSCRIPCIÓN </t>
  </si>
  <si>
    <t>ADRIAN GABRIEL CASTELLANOS VARGAS</t>
  </si>
  <si>
    <t>030065</t>
  </si>
  <si>
    <t>LEOBARDO CASTELLANOS VARGAS</t>
  </si>
  <si>
    <t>EITHAN GARDUZA SCOTT</t>
  </si>
  <si>
    <t>ENVIAR COMPROBANTE DE PAGO EN PDF</t>
  </si>
  <si>
    <t>HSBC522914</t>
  </si>
  <si>
    <t>IMELDA MARTINEZ RUIZ</t>
  </si>
  <si>
    <t>LUISA PAULETTE SANCHEZ SANTOS</t>
  </si>
  <si>
    <t>REINSCRITO</t>
  </si>
  <si>
    <t>921 173 2609</t>
  </si>
  <si>
    <t>921 266 6224</t>
  </si>
  <si>
    <t>921 272 1703</t>
  </si>
  <si>
    <t>921 280 7541</t>
  </si>
  <si>
    <t>921 129 3915</t>
  </si>
  <si>
    <t>921 266 3787</t>
  </si>
  <si>
    <t>921 178 7512</t>
  </si>
  <si>
    <t>921 151 7779</t>
  </si>
  <si>
    <t>803 949 5281</t>
  </si>
  <si>
    <t>921 265 1701</t>
  </si>
  <si>
    <t>921 195 6663</t>
  </si>
  <si>
    <t>294 121 5790</t>
  </si>
  <si>
    <t>33 1252 9236</t>
  </si>
  <si>
    <t>921 151 3220</t>
  </si>
  <si>
    <t>921 207 3167</t>
  </si>
  <si>
    <t xml:space="preserve"> 921 103 2088</t>
  </si>
  <si>
    <t>921 205 6342</t>
  </si>
  <si>
    <t>921 122 6826</t>
  </si>
  <si>
    <t>921 115 9794</t>
  </si>
  <si>
    <t>921 123 1837</t>
  </si>
  <si>
    <t>921 273 2901</t>
  </si>
  <si>
    <t>921 123 0949</t>
  </si>
  <si>
    <t>921 256 0669</t>
  </si>
  <si>
    <t xml:space="preserve"> 921 345 7203</t>
  </si>
  <si>
    <t>782 829 8093</t>
  </si>
  <si>
    <t>921 261 1444</t>
  </si>
  <si>
    <t>921 246 4886</t>
  </si>
  <si>
    <t>Papá:916 116 2460/mamá 921 240 5771</t>
  </si>
  <si>
    <t>921 305 2256</t>
  </si>
  <si>
    <t>921 172 7241</t>
  </si>
  <si>
    <t>782 136 4624</t>
  </si>
  <si>
    <t>921 177 3402</t>
  </si>
  <si>
    <t>921 125 9896</t>
  </si>
  <si>
    <t>921 139 3753</t>
  </si>
  <si>
    <t>921 202 4626</t>
  </si>
  <si>
    <t>921 154 4334</t>
  </si>
  <si>
    <t>921 141 0280</t>
  </si>
  <si>
    <t>938 113 8982</t>
  </si>
  <si>
    <t>921 304 4382</t>
  </si>
  <si>
    <t>921 274 7022</t>
  </si>
  <si>
    <t>921 345 7203</t>
  </si>
  <si>
    <t>921 298 0490</t>
  </si>
  <si>
    <t>921 137 3818</t>
  </si>
  <si>
    <t>921 249 6568</t>
  </si>
  <si>
    <t>921 250 0484</t>
  </si>
  <si>
    <t>921 280 9032</t>
  </si>
  <si>
    <t>921 127 8732</t>
  </si>
  <si>
    <t>962 214 0049</t>
  </si>
  <si>
    <t>921 223 9077</t>
  </si>
  <si>
    <t>JOSE MIGUEL CRUZ LOPEZ</t>
  </si>
  <si>
    <t>MARZO-ABRIL</t>
  </si>
  <si>
    <t>ARYED ALEJANDRA MONTESINOS GARCIA</t>
  </si>
  <si>
    <t>921 105 3439</t>
  </si>
  <si>
    <t>PENDIENTE</t>
  </si>
  <si>
    <t>023933</t>
  </si>
  <si>
    <t>BANORTE5537</t>
  </si>
  <si>
    <t>HSB5306900</t>
  </si>
  <si>
    <t>ASIEL ROQUE FUENTES</t>
  </si>
  <si>
    <t>REINSCRIPCIÓN</t>
  </si>
  <si>
    <t xml:space="preserve">VANIA ZOE FARIAS BAHENA </t>
  </si>
  <si>
    <t>MARZO-JUNIO</t>
  </si>
  <si>
    <t xml:space="preserve">12 MESES </t>
  </si>
  <si>
    <t xml:space="preserve">ALANA XIMENA CASTILLO ABREU </t>
  </si>
  <si>
    <t>ELIAS DANIEL CRUZ LOPEZ</t>
  </si>
  <si>
    <t>REVISAR</t>
  </si>
  <si>
    <t xml:space="preserve">LIAM ZAMORANO HERNANDEZ </t>
  </si>
  <si>
    <t xml:space="preserve">MARZO-JUNIO </t>
  </si>
  <si>
    <t>921 121 3656</t>
  </si>
  <si>
    <t>ABRIL YATZIL CRUZ ARIZPE</t>
  </si>
  <si>
    <t>NAHOMI CRUZ GOMEZ</t>
  </si>
  <si>
    <t>LEYLA CRUZ ARIZPE</t>
  </si>
  <si>
    <t>921 273 5501</t>
  </si>
  <si>
    <t>921 123 1669</t>
  </si>
  <si>
    <t>229 127 2310</t>
  </si>
  <si>
    <t>921 133 0288</t>
  </si>
  <si>
    <t>921 150 2316</t>
  </si>
  <si>
    <t>12 MESES</t>
  </si>
  <si>
    <t xml:space="preserve">ALEXANDRO VIDAL APOLINAR VELAZQUEZ </t>
  </si>
  <si>
    <t xml:space="preserve">ANGEL DE JESUS RABANALES ALEGRIA </t>
  </si>
  <si>
    <t>AZAEL BAILON CANCINO</t>
  </si>
  <si>
    <t>VLADIMIR BAILON CANCINO</t>
  </si>
  <si>
    <t>DAMARA GENOVEVA PRIMO MORALES</t>
  </si>
  <si>
    <t>KARLA DANIELA LUIS CARRERA</t>
  </si>
  <si>
    <t>SAMUEL VALLEROJO SANCHEZ</t>
  </si>
  <si>
    <t xml:space="preserve">MATEO CRUZ PORTILLA </t>
  </si>
  <si>
    <t>SARA ANALI CRUZ PORTILLA</t>
  </si>
  <si>
    <t>556 932 1515</t>
  </si>
  <si>
    <t>ABRAHAM DE JESUS MONTERO GARCIA</t>
  </si>
  <si>
    <t>921 144 6840</t>
  </si>
  <si>
    <t>DEREK ABDIEL PECH SANTIAGO</t>
  </si>
  <si>
    <t>921 305 2090</t>
  </si>
  <si>
    <t>FRANCISCO MALIK HEREDIA DOMÍNGUEZ</t>
  </si>
  <si>
    <t>NO FACTURA</t>
  </si>
  <si>
    <t>JOHANA CRUZ MURGIA</t>
  </si>
  <si>
    <t>922 220 8188</t>
  </si>
  <si>
    <t>102LL1</t>
  </si>
  <si>
    <t xml:space="preserve">NAIM JIMENEZ DOMINGUEZ </t>
  </si>
  <si>
    <t>CARLOS MIGUEL MATEO ORTEGA</t>
  </si>
  <si>
    <t>85904603774319000´</t>
  </si>
  <si>
    <t>85904633504319053´</t>
  </si>
  <si>
    <t>85904647184319056´</t>
  </si>
  <si>
    <t>085904806074319059´</t>
  </si>
  <si>
    <t>921 119 3553</t>
  </si>
  <si>
    <t>GISSEL ADHARA LOPEZ CRUZ</t>
  </si>
  <si>
    <t>MAXIMILIANO CISNEROS VILLEGAS</t>
  </si>
  <si>
    <t>DIEGO LARA BARRERA</t>
  </si>
  <si>
    <t>921 154 9372</t>
  </si>
  <si>
    <t>HSB5544347</t>
  </si>
  <si>
    <t xml:space="preserve">ASHLEY ALEXA TOTO MARTINEZ </t>
  </si>
  <si>
    <t>921 306 9709</t>
  </si>
  <si>
    <t>921 228 5003</t>
  </si>
  <si>
    <t xml:space="preserve">ANGEL MATHIAS CARRASCO RAMIREZ </t>
  </si>
  <si>
    <t xml:space="preserve">2X1 </t>
  </si>
  <si>
    <t xml:space="preserve">SEBASTIAN CARRASCO RAMIREZ </t>
  </si>
  <si>
    <t xml:space="preserve">MARCELO IVAN CRUZ GARCIA </t>
  </si>
  <si>
    <t xml:space="preserve">LIAM EZEQUIEL OVILLA ESPINOZA </t>
  </si>
  <si>
    <t>JOSUE VALENCIA OCAMPO</t>
  </si>
  <si>
    <t xml:space="preserve">JULIO </t>
  </si>
  <si>
    <t>2X1</t>
  </si>
  <si>
    <t xml:space="preserve">REGINA PEREYRA TOLEDO </t>
  </si>
  <si>
    <t xml:space="preserve">CARMEN GABRIELA DE LEÓN REYES </t>
  </si>
  <si>
    <t xml:space="preserve">YESHUA FERNANDO VALENCIA OCAMPO </t>
  </si>
  <si>
    <t>GABRIEL ARRIAGA PEREZ</t>
  </si>
  <si>
    <t>10 MESES</t>
  </si>
  <si>
    <t xml:space="preserve">12 meses </t>
  </si>
  <si>
    <t>IVANNA GARCIA RUIZ</t>
  </si>
  <si>
    <t>923 130 6307</t>
  </si>
  <si>
    <t>VALENTINA GARCIA RUIZ</t>
  </si>
  <si>
    <t>SIMON BOLIVAR</t>
  </si>
  <si>
    <t>DAMIAN HERNANDEZ FLORES</t>
  </si>
  <si>
    <t>921 184 3826</t>
  </si>
  <si>
    <t>ATENEA ALESSANDRA USCANGA TOLEDO</t>
  </si>
  <si>
    <t>JUAN SEBASTIAN PEREZ SANTOS</t>
  </si>
  <si>
    <t>LUIS ALEJANDRO RODRIGUEZ BOFFIL</t>
  </si>
  <si>
    <t>921 291 0428</t>
  </si>
  <si>
    <t>921 101 3834</t>
  </si>
  <si>
    <t>921 147 1116</t>
  </si>
  <si>
    <t>921 112 7464</t>
  </si>
  <si>
    <t>922 127 2139</t>
  </si>
  <si>
    <t>229 124 7667</t>
  </si>
  <si>
    <t>921 192 2612</t>
  </si>
  <si>
    <t>993 397 1246</t>
  </si>
  <si>
    <t>921 151 4694</t>
  </si>
  <si>
    <t>921 221 5011</t>
  </si>
  <si>
    <t>921 256 2170</t>
  </si>
  <si>
    <t>921 276 2448</t>
  </si>
  <si>
    <t xml:space="preserve"> 921 268 5925</t>
  </si>
  <si>
    <t>921 267 4314</t>
  </si>
  <si>
    <t>921 123 6086</t>
  </si>
  <si>
    <t>921 305 1833</t>
  </si>
  <si>
    <t>921 311 7475</t>
  </si>
  <si>
    <t>921 109 9026</t>
  </si>
  <si>
    <t>229 551 1831</t>
  </si>
  <si>
    <t>921 142 2363</t>
  </si>
  <si>
    <t>921 297 3074</t>
  </si>
  <si>
    <t xml:space="preserve">IVANNA PAULINA ALCEDA GUILLEN </t>
  </si>
  <si>
    <t>921 178 8837</t>
  </si>
  <si>
    <t xml:space="preserve">ELIAS EDUARDO SANCHEZ DIAZ </t>
  </si>
  <si>
    <t>921 133 6418</t>
  </si>
  <si>
    <t>NOE DAVID GARCIA NELSON</t>
  </si>
  <si>
    <t>921 200 9902</t>
  </si>
  <si>
    <t xml:space="preserve">PEREZ CRUZ LIA KARIME </t>
  </si>
  <si>
    <t xml:space="preserve">SIMON BOLIVAR </t>
  </si>
  <si>
    <t xml:space="preserve">CAMACHO ORDAZ JAZMIN </t>
  </si>
  <si>
    <t>CALEB SOTO ACOSTA</t>
  </si>
  <si>
    <t xml:space="preserve">921 112 5176 </t>
  </si>
  <si>
    <t>921 250 6858</t>
  </si>
  <si>
    <t xml:space="preserve">921 113 6770 </t>
  </si>
  <si>
    <t>921 240 2378</t>
  </si>
  <si>
    <t>MAMÁ: DEINA GONZALEZ</t>
  </si>
  <si>
    <t>85902586874321100´</t>
  </si>
  <si>
    <t>ANGEL JOSUE SERAPIO ZUÑIGA</t>
  </si>
  <si>
    <t>921 244 5418</t>
  </si>
  <si>
    <t>EMMA SOFIA DOMINGUEZ NIETO</t>
  </si>
  <si>
    <t>921 178 1586</t>
  </si>
  <si>
    <t xml:space="preserve">30% DESC ARANCEL Y MATERIAL </t>
  </si>
  <si>
    <t>ALEJANDRO DIAZ MORALES</t>
  </si>
  <si>
    <t xml:space="preserve">921 100 2754 </t>
  </si>
  <si>
    <t xml:space="preserve"> </t>
  </si>
  <si>
    <t>85902046484321400´</t>
  </si>
  <si>
    <t>LIAM HANIEL ROBLES LIMON</t>
  </si>
  <si>
    <t>12 meses</t>
  </si>
  <si>
    <t>85903247514321600´</t>
  </si>
  <si>
    <t>MATIAS SAUL RIVAS GRAJEDA</t>
  </si>
  <si>
    <t>921 307 0216</t>
  </si>
  <si>
    <t>PROMO 2X1</t>
  </si>
  <si>
    <t>IKER SANTIAGO SAAVEDRA GRAJEDA</t>
  </si>
  <si>
    <t>FIRMO DOCUMENTOS</t>
  </si>
  <si>
    <t xml:space="preserve">FALTA DE FIRMAR </t>
  </si>
  <si>
    <t>ADRIEL MORALES DOMINGUEZ</t>
  </si>
  <si>
    <t xml:space="preserve">921 235 4100 </t>
  </si>
  <si>
    <t>30777402</t>
  </si>
  <si>
    <t>DEREK URIEL MORALES DOMINGUEZ</t>
  </si>
  <si>
    <t>921 235 4100</t>
  </si>
  <si>
    <t>AKANE MORALES ROMAN</t>
  </si>
  <si>
    <t>MAESTRA CSD</t>
  </si>
  <si>
    <t xml:space="preserve">921 196 0028 </t>
  </si>
  <si>
    <t xml:space="preserve">KAI DE MARIA HERNADEZ ROMÁN </t>
  </si>
  <si>
    <t xml:space="preserve">921 229 2822 </t>
  </si>
  <si>
    <t>LUIS EDUARDO GUITARTH MARTINEZ</t>
  </si>
  <si>
    <t>921 136 9723</t>
  </si>
  <si>
    <t>AGNES DANIELLE JIMENEZ CALDERON</t>
  </si>
  <si>
    <t>921 110 3093</t>
  </si>
  <si>
    <t>AGREGAR A CONTACTO</t>
  </si>
  <si>
    <t>12561756</t>
  </si>
  <si>
    <t>NAOMI CARRILLO GONZALEZ</t>
  </si>
  <si>
    <t>AXEL FABÍAN BARROSO CARDENAS</t>
  </si>
  <si>
    <t>921 197 6868</t>
  </si>
  <si>
    <t>ADA MARIA TORRES JUAREZ</t>
  </si>
  <si>
    <t>921 298 7455</t>
  </si>
  <si>
    <t>HSBC275999</t>
  </si>
  <si>
    <t>HSBC272372</t>
  </si>
  <si>
    <t xml:space="preserve">10 MESES </t>
  </si>
  <si>
    <t>VALENTINA TOSCANO MOSQUEDA</t>
  </si>
  <si>
    <t xml:space="preserve">INSCRIPCIÓN GRATIS </t>
  </si>
  <si>
    <t>921 272 5928/9212286982</t>
  </si>
  <si>
    <t xml:space="preserve">CLAUDIA MARIA CASTRO CAMACHO </t>
  </si>
  <si>
    <t xml:space="preserve">SIMON BOLIBAR </t>
  </si>
  <si>
    <t>921 252 7975</t>
  </si>
  <si>
    <t>ANGEL DE JESUS ARRONIZ CALZADA</t>
  </si>
  <si>
    <t>921 118 1360</t>
  </si>
  <si>
    <t xml:space="preserve">GAEL SANDOVAL GARCIA </t>
  </si>
  <si>
    <t>923 108 1626</t>
  </si>
  <si>
    <t xml:space="preserve">NATHAN DIDIER CARRASCO CASTAÑEDA </t>
  </si>
  <si>
    <t>6049483</t>
  </si>
  <si>
    <t xml:space="preserve">GABRIEL ALEJANDRO SERVIN SOBERANO </t>
  </si>
  <si>
    <t xml:space="preserve">HELLEN MONTSERRAT HERNANDEZ GARCIA </t>
  </si>
  <si>
    <t xml:space="preserve">GAEL JUAREZ FUENTES </t>
  </si>
  <si>
    <t>VALERIA MORENO GERMAN</t>
  </si>
  <si>
    <t>921 112 9727</t>
  </si>
  <si>
    <t xml:space="preserve">RODRIGO EMMANUEL SANCHEZ DOMINGUEZ </t>
  </si>
  <si>
    <t>DIANA MARTINEZ MENDOZA</t>
  </si>
  <si>
    <t>938 180 0913</t>
  </si>
  <si>
    <t>85906386994321600´</t>
  </si>
  <si>
    <t xml:space="preserve">ANDRES VEGA CAPORAL </t>
  </si>
  <si>
    <t xml:space="preserve">921 138 9951 </t>
  </si>
  <si>
    <t xml:space="preserve">MATIAS ALEJANDRO PEREZ REYES </t>
  </si>
  <si>
    <t>EL MARTES 26 HACE LOS PAGOS</t>
  </si>
  <si>
    <t>922 140 6895</t>
  </si>
  <si>
    <t xml:space="preserve">ZOE ROSADO MARTINEZ </t>
  </si>
  <si>
    <t>921 302 6787</t>
  </si>
  <si>
    <t>INGRID PATRICIA GUZMAN SANTIAGO</t>
  </si>
  <si>
    <t xml:space="preserve">GUILLERMO MIKAEL CHAVEZ </t>
  </si>
  <si>
    <t>921 285 5765</t>
  </si>
  <si>
    <t xml:space="preserve">IKER TRISTAN ROMERO AVILA </t>
  </si>
  <si>
    <t>PAGA EL MARTES 26 AGOSTO</t>
  </si>
  <si>
    <t>921 136 7968</t>
  </si>
  <si>
    <t>KENDRA ALEXANDRA PEREZ CRUZ</t>
  </si>
  <si>
    <t>229 465 3459</t>
  </si>
  <si>
    <t>3520740</t>
  </si>
  <si>
    <t>ROMINA GONZALEZ HERNANDEZ</t>
  </si>
  <si>
    <t>CONTRERAS PALACIONS KEIDY ISABELLA</t>
  </si>
  <si>
    <t>921 257 2547</t>
  </si>
  <si>
    <t xml:space="preserve">JOSEPH DAVID CONTRERAS PALACIOS </t>
  </si>
  <si>
    <t>56010377´</t>
  </si>
  <si>
    <t>921 280 1194</t>
  </si>
  <si>
    <t xml:space="preserve">HELENA POBLETE PEÑA </t>
  </si>
  <si>
    <t xml:space="preserve">XIMENA GARDUZA LIMÓN </t>
  </si>
  <si>
    <t>921 276 5361</t>
  </si>
  <si>
    <t>HERMANA DE RENATA SEC COMUNCIARSE CON LA MAMÁ DE RENATA</t>
  </si>
  <si>
    <t>85902496594324000´</t>
  </si>
  <si>
    <t>921 125 2551</t>
  </si>
  <si>
    <t>JARED ALEXANDER FUENTES TORRRES</t>
  </si>
  <si>
    <t>KHATERIN AMAIA MORALES DOMINGUEZ</t>
  </si>
  <si>
    <t>921 261 1498</t>
  </si>
  <si>
    <t>AITANA REBECA FERNÁNDEZ CRUZ</t>
  </si>
  <si>
    <t>DARWIN GONZALEZ GOMEZ</t>
  </si>
  <si>
    <t>ZION USCANCA VAZQUEZ</t>
  </si>
  <si>
    <t>JOSE MARIA MARTINEZ TADEO</t>
  </si>
  <si>
    <t>921 134 7825</t>
  </si>
  <si>
    <t xml:space="preserve">ALISSA XIMENA GUTIERRES DOMINGUEZ </t>
  </si>
  <si>
    <t>921 105 0923</t>
  </si>
  <si>
    <t>MIRANDA REYES ESCOBAR</t>
  </si>
  <si>
    <t>CONSTANZA REYES ESCOBAR</t>
  </si>
  <si>
    <t>921 140 2401</t>
  </si>
  <si>
    <t>921 311 4044</t>
  </si>
  <si>
    <t>MELANY AIDEE RODRIGUEZ TOLENTINO</t>
  </si>
  <si>
    <t>921 297 3835</t>
  </si>
  <si>
    <t>ARANTXA ROSAS SANCHEZ</t>
  </si>
  <si>
    <t>961 300 0674</t>
  </si>
  <si>
    <t>85906073290323800´</t>
  </si>
  <si>
    <t xml:space="preserve">KAREN ITZEL VÉLAZQUEZ JIMENEZ </t>
  </si>
  <si>
    <t>921 240 2488</t>
  </si>
  <si>
    <t>FACTURA</t>
  </si>
  <si>
    <t>SOFIA BELEN PUCHETA RIVERA</t>
  </si>
  <si>
    <t>921 128 9472</t>
  </si>
  <si>
    <t>Pago con tarjeta</t>
  </si>
  <si>
    <t xml:space="preserve">Pago con tarjeta </t>
  </si>
  <si>
    <t xml:space="preserve">DANIELA MICHELLE ULIN GARCIA </t>
  </si>
  <si>
    <t xml:space="preserve">GABRIEL ALEJANDRO FUENTES TORRES </t>
  </si>
  <si>
    <t>FALTA ENVIAR CSF</t>
  </si>
  <si>
    <t>9685</t>
  </si>
  <si>
    <t>868081</t>
  </si>
  <si>
    <t>EMILIO ESTRADA CABRERA</t>
  </si>
  <si>
    <t>PAOLA AYALETH POLA CARDENAS</t>
  </si>
  <si>
    <t>921 239 7841</t>
  </si>
  <si>
    <t>sf</t>
  </si>
  <si>
    <t>10 MESE</t>
  </si>
  <si>
    <t>HSBC437843</t>
  </si>
  <si>
    <t>HSBC332368</t>
  </si>
  <si>
    <t>DANIEL BURGOS MENA</t>
  </si>
  <si>
    <t>921 272 3613</t>
  </si>
  <si>
    <t>85909084190324600´</t>
  </si>
  <si>
    <t>TRANF</t>
  </si>
  <si>
    <t>TRANSF</t>
  </si>
  <si>
    <t>TC</t>
  </si>
  <si>
    <t>PAGO AÑO COMPLETO</t>
  </si>
  <si>
    <t>´000072</t>
  </si>
  <si>
    <t xml:space="preserve">DEP BANCO </t>
  </si>
  <si>
    <t xml:space="preserve">PAGO ANUAL </t>
  </si>
  <si>
    <t>EDITH FERNANDA GARCIA PEÑA</t>
  </si>
  <si>
    <t xml:space="preserve">921 280 1194 </t>
  </si>
  <si>
    <t>debit</t>
  </si>
  <si>
    <t>PAGO TARJETA</t>
  </si>
  <si>
    <t>TRANS</t>
  </si>
  <si>
    <t>DEBIT CARD</t>
  </si>
  <si>
    <t>APROB 4854</t>
  </si>
  <si>
    <t>YTMBOK</t>
  </si>
  <si>
    <t>KLAR OP</t>
  </si>
  <si>
    <t>CTA0615</t>
  </si>
  <si>
    <t>HSBC492765</t>
  </si>
  <si>
    <t>32DNDI</t>
  </si>
  <si>
    <t>76206548</t>
  </si>
  <si>
    <t>SF TC</t>
  </si>
  <si>
    <t xml:space="preserve">KAI DE MARIA HERNANDEZ ROMAN </t>
  </si>
  <si>
    <t>1592829844</t>
  </si>
  <si>
    <t>x</t>
  </si>
  <si>
    <t xml:space="preserve">ANGEL DE JESUS RIVERA DOMINGUEZ </t>
  </si>
  <si>
    <t>nomban3194</t>
  </si>
  <si>
    <t xml:space="preserve">VALENTINA MARTINEZ </t>
  </si>
  <si>
    <t>CTA9464</t>
  </si>
  <si>
    <t>CUENTA5539</t>
  </si>
  <si>
    <t>HSBC578453</t>
  </si>
  <si>
    <t>NU0544</t>
  </si>
  <si>
    <t>519307</t>
  </si>
  <si>
    <t>DEP BANCO</t>
  </si>
  <si>
    <t>NU 5527</t>
  </si>
  <si>
    <t>TC5489</t>
  </si>
  <si>
    <t>deb0534</t>
  </si>
  <si>
    <t>TRANSFDE</t>
  </si>
  <si>
    <t>V8WF3G</t>
  </si>
  <si>
    <t>06/112</t>
  </si>
  <si>
    <t xml:space="preserve">PAGO TARJETA </t>
  </si>
  <si>
    <t>cuenta5537</t>
  </si>
  <si>
    <t>VBWF3G</t>
  </si>
  <si>
    <t>PAGOTARJETASF</t>
  </si>
  <si>
    <t>4548491</t>
  </si>
  <si>
    <t>APROB8971</t>
  </si>
  <si>
    <t>PAGOTDINT</t>
  </si>
  <si>
    <t>AUT785263</t>
  </si>
  <si>
    <t>DEBITCARD</t>
  </si>
  <si>
    <t>HSBC141303</t>
  </si>
  <si>
    <t>DEBIT</t>
  </si>
  <si>
    <t>TRANSF5897</t>
  </si>
  <si>
    <t>TARJETADEBIT</t>
  </si>
  <si>
    <t>JARA DOMINGUEZ MARIA RENATA</t>
  </si>
  <si>
    <t xml:space="preserve">DOMINIC ISAAR RUIZ GARZÓN </t>
  </si>
  <si>
    <t>55 1260 2277</t>
  </si>
  <si>
    <t xml:space="preserve">MARIA RENATA </t>
  </si>
  <si>
    <t>5316966</t>
  </si>
  <si>
    <t>TD28066</t>
  </si>
  <si>
    <t>NO LLEVO</t>
  </si>
  <si>
    <t>HSBC088684</t>
  </si>
  <si>
    <t>CUENTA5537</t>
  </si>
  <si>
    <t>PTDC</t>
  </si>
  <si>
    <t>PCT</t>
  </si>
  <si>
    <t>TDC</t>
  </si>
  <si>
    <t>CTA2493</t>
  </si>
  <si>
    <t>DEP BANC</t>
  </si>
  <si>
    <t>HSBC501804</t>
  </si>
  <si>
    <t>54789621</t>
  </si>
  <si>
    <t>642776</t>
  </si>
  <si>
    <t>HSB5682276</t>
  </si>
  <si>
    <t>cta5537</t>
  </si>
  <si>
    <t>CTA6715</t>
  </si>
  <si>
    <t>CTA4706</t>
  </si>
  <si>
    <t>2389663</t>
  </si>
  <si>
    <t>dep banco</t>
  </si>
  <si>
    <t>mbo7089</t>
  </si>
  <si>
    <t>cta4925</t>
  </si>
  <si>
    <t>no.op089</t>
  </si>
  <si>
    <t xml:space="preserve">KARLA SUGEY OLAN MEJIA </t>
  </si>
  <si>
    <t>5465934 ($2,623)  06216 ($400)</t>
  </si>
  <si>
    <t>019874 (DEP EFEC)</t>
  </si>
  <si>
    <t>284 (tarjeta)</t>
  </si>
  <si>
    <t>285 (tarjeta)</t>
  </si>
  <si>
    <t>286 (tarjeta)</t>
  </si>
  <si>
    <t>287 (tarjeta)</t>
  </si>
  <si>
    <t>288 (tarjeta)</t>
  </si>
  <si>
    <t>$2,399 (cole normal) diferencia material siguiente año ($501)</t>
  </si>
  <si>
    <t>CTA 9464</t>
  </si>
  <si>
    <t>$1500 - 291 (tarjeta) $300 transf 6431</t>
  </si>
  <si>
    <t>290 tarjeta</t>
  </si>
  <si>
    <t>diferencia de $60 acumular en la colegiatura de junio</t>
  </si>
  <si>
    <t>FACTURAS</t>
  </si>
  <si>
    <t>FACTURA SI/NO</t>
  </si>
  <si>
    <t>ULT FACT</t>
  </si>
  <si>
    <t>AGO</t>
  </si>
  <si>
    <t>SEPT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</si>
  <si>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</si>
  <si>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</si>
  <si>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</si>
  <si>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</si>
  <si>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</si>
  <si>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</si>
  <si>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</si>
  <si>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</si>
  <si>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</si>
  <si>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</si>
  <si>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1° PREESCOLAR</t>
  </si>
  <si>
    <t>2° PREESCOLAR</t>
  </si>
  <si>
    <t xml:space="preserve">3° PREESCOLAR </t>
  </si>
  <si>
    <t xml:space="preserve">1° PRIMARIA </t>
  </si>
  <si>
    <t>3797 CANCELADA / 3821 VIGENTE</t>
  </si>
  <si>
    <t xml:space="preserve">ANGEL SANTIAGO MENDOZA ORTEGA </t>
  </si>
  <si>
    <t>SI FACTURA</t>
  </si>
  <si>
    <t xml:space="preserve">2° PRIMARIA </t>
  </si>
  <si>
    <t>NO FACTURÓ</t>
  </si>
  <si>
    <t xml:space="preserve">SI FACTURA </t>
  </si>
  <si>
    <t xml:space="preserve">3830/3907 SE DUPLICÓ </t>
  </si>
  <si>
    <t xml:space="preserve">ABIGAIL GARCIA MARTINEZ </t>
  </si>
  <si>
    <t>JARED ALEXANDER FUENTES GARCIA</t>
  </si>
  <si>
    <t xml:space="preserve">3° PRIMARIA </t>
  </si>
  <si>
    <t>pag</t>
  </si>
  <si>
    <t xml:space="preserve">4° PRIMARIA </t>
  </si>
  <si>
    <t xml:space="preserve">JOSE MARIA MARTINEZ TADEO </t>
  </si>
  <si>
    <t xml:space="preserve">5° PRIMARIA </t>
  </si>
  <si>
    <t xml:space="preserve">MAXIMILIANO CISNEROS VILLEGAS </t>
  </si>
  <si>
    <t>DANIELA MICHELLE ULIN GARCIA</t>
  </si>
  <si>
    <t>sin factura</t>
  </si>
  <si>
    <t>6° PRIMARIA</t>
  </si>
  <si>
    <t>JOSEPH DAVID CONTRERAS PALACIOS</t>
  </si>
  <si>
    <t>IKER TRISTAN ROMERO AVILA</t>
  </si>
  <si>
    <t>1° SECUNDARIA</t>
  </si>
  <si>
    <t>ZION USCANCA VASQUEZ</t>
  </si>
  <si>
    <t>FRANCISCO USCANGA CASTAÑEDA</t>
  </si>
  <si>
    <t xml:space="preserve">2° SECUNDARIA </t>
  </si>
  <si>
    <t>XIMENA GARDUZO LIMON</t>
  </si>
  <si>
    <t>GABRIEL ALEJANDRO FUENTES GARCIA</t>
  </si>
  <si>
    <t xml:space="preserve">EDITH FERNANDA GARCIA PEÑA  </t>
  </si>
  <si>
    <t>NO APLICA</t>
  </si>
  <si>
    <t>MELANY AIDEE TOLENTINO</t>
  </si>
  <si>
    <t xml:space="preserve">3° SECUNDARIA </t>
  </si>
  <si>
    <t xml:space="preserve">5° SEMESTRES BACH </t>
  </si>
  <si>
    <t xml:space="preserve">NO FACTURA </t>
  </si>
  <si>
    <t>LUZ DEL CARMEN RUIZ HERNANDEZ</t>
  </si>
  <si>
    <t>GERMAIN CRUZ CLARA</t>
  </si>
  <si>
    <t>PADRE - FACTURA</t>
  </si>
  <si>
    <t>Complemento Inst. Educativas: Alumno - ELIAS DANIEL CRUZ LOPEZ CURP - CULE220205HVZRPLA7 RFC - CUCG950530AB7 Nivel Educativo - Preescolar autRVOE - PRE/004/2015</t>
  </si>
  <si>
    <t>COMPL. FACT</t>
  </si>
  <si>
    <t>COLEGIATURA (MES) CICLO 2025-2026</t>
  </si>
  <si>
    <t>CELSO ERIK LEOBARDO CASTELLANOS BANDALA</t>
  </si>
  <si>
    <t>Complemento Inst. Educativas: Alumno - ADRIAN GABRIEL CASTELLANOS VARGAS CURP - CAVA221221HVZSRDA3 RFC - CABC760812PU7 Nivel Educativo - Preescolar autRVOE - PR</t>
  </si>
  <si>
    <t>EDITH GUADALUPE PEÑA SANCHEZ</t>
  </si>
  <si>
    <t>Complemento Inst. Educativas: Alumno - HELENA POBLETE PEÑA CURP - POPH230212MVZBXLA9 RFC - PESE8812203R4 Nivel Educativo - Preescolar autRVOE - P</t>
  </si>
  <si>
    <t>MARIELA JIMENEZ SANCHEZ</t>
  </si>
  <si>
    <t>Complemento Inst. Educativas: Alumno - DANAE GARCIA JIMENEZ CURP - GAJD210201MVZRMNA8 RFC - JISM930304MK7 Nivel Educativo - Preescolar autRVOE - PRE/004/2015</t>
  </si>
  <si>
    <t>JESSICA ZAMORA MENENDEZ</t>
  </si>
  <si>
    <t>Complemento Inst. Educativas: Alumno - ELISA ABIGAIL ALONSO ZAMORA CURP - AOZE200822MVZLMLA3 RFC - ZAMJ840424KT4 Nivel Educativo - Preescolar autRVOE - PR</t>
  </si>
  <si>
    <t>ADRIAN MARIN CASTILLO</t>
  </si>
  <si>
    <t>KARLA MARGARITA PEREA GUZMAN</t>
  </si>
  <si>
    <t>Complemento Inst. Educativas: Alumno - LIAM SAEL RAMIREZ PEREA CURP - RAPL190830HVZMRMA2 RFC - PEGK931224MB2 Nivel Educativo - Primaria autRVOE - PRI/004/2015</t>
  </si>
  <si>
    <t>KAREN JACKELINE DIAZ RODRIGUEZ</t>
  </si>
  <si>
    <t>CLAUDIA KARINA TOLEDO GUILLEN</t>
  </si>
  <si>
    <t>CAROLINA DEL CARMEN GARCIA ORDOÑEZ</t>
  </si>
  <si>
    <t>Complemento Inst. Educativas: Alumno - ABRAHAM DE JESUS MONTERO GARCIA CURP - MOGA190104HVZNRBA9 RFC - GAOC911029FW3 Nivel Educativo - Primaria autRVOE - PRI/004/2015</t>
  </si>
  <si>
    <t>JOSE IGNACIO GARCIA TORRES</t>
  </si>
  <si>
    <t>Complemento Inst. Educativas: Alumno - IVANNA GARCIA RUÍZ  CURP - GARI191129MVZRZVA3 RFC - GATI800420AM5 Nivel Educativo Primaria autRVOE - PRI/004/2015</t>
  </si>
  <si>
    <t>SI</t>
  </si>
  <si>
    <t xml:space="preserve">SI   </t>
  </si>
  <si>
    <t>Complemento Inst. Educativas: Alumno - NAYAN MARIN MARTINEZ CURP - MAMN200306MVZRRYA9 RFC - MACA910609454 Nivel Educativo - Preescolar autRVOE - PRE/004/2015</t>
  </si>
  <si>
    <t>NO</t>
  </si>
  <si>
    <t>Complemento Inst. Educativas: Alumno - ISABELLA GALVEZ DIAZ CURP - GADI190618MVZLZSA3 RFC - DIRK9505175H7 Nivel Educativo - Primaria autRVOE - PRI/004/2015</t>
  </si>
  <si>
    <t>Complemento Inst. Educativas: Alumno - REGINA PEREYRA TOLEDO CURP - PETR190917MVZRLGA3 RFC - TOGC9207286C1 Nivel Educativo - Primaria autRVOE - PRI/004/2015</t>
  </si>
  <si>
    <t>COLEGIATURA ABRIL CICLO ESCOLAR 2025-2026</t>
  </si>
  <si>
    <t>ADRIANA GRAJEDA AGUIRRE</t>
  </si>
  <si>
    <t>MONTSERRAT CASTAN OVANDO</t>
  </si>
  <si>
    <t>Complemento Inst. Educativas: Alumno - CESAR BENHUR CASTAN OVANDO CURP - CAOC181107HVZSVSA4 RFC - CAOM880602P13 Nivel Educativo - Primaria autRVOE - PRI/004/2015</t>
  </si>
  <si>
    <t>JHONATAN DE JESUS SALINAS TOLEDO</t>
  </si>
  <si>
    <t>JEAN CARLO RICARDEZ VEGA</t>
  </si>
  <si>
    <t>CARLA KATANIA OROZCO TORRES</t>
  </si>
  <si>
    <t>Complemento Inst. Educativas: Alumno - DOMINIC GUSTAVO NIVON OROZCO CURP - NIOD180813HVZVRMA8 RFC - OOTC910112M48 Nivel Educativo - Primaria autRVOE - PRI/004/2015</t>
  </si>
  <si>
    <t>Complemento Inst. Educativas: Alumno - JOSÉ MIGUEL CRUZ LÓPEZ CURP - CULM180517HVZRPGA7 RFC - CUCG950530AB7 Nivel Educativo - Primaria autRVOE - PRI/004/2015</t>
  </si>
  <si>
    <t>INGRID SANTIAGO OJEDA</t>
  </si>
  <si>
    <t>Complemento Inst. Educativas: Alumno - INGRID PATRICIA GUZMAN SANTIAGO CURP - GUSI180914MVZZNNA1 RFC - SAOI8507298P4 Nivel Educativo - Primaria autRVOE - PRI/004/2015</t>
  </si>
  <si>
    <t>ABRIL ESMERALDA NIETO VASCONCELOS</t>
  </si>
  <si>
    <t>Complemento Inst. Educativas: Alumno - EMMA SOFIA DOMINGUEZ NIETO CURP - DONE180320MVZMTMA0 RFC - NIVA840415QL0 Nivel Educativo - Primaria autRVOE - PRI/004/2015</t>
  </si>
  <si>
    <t>CORPORATIVO CONTABLE Y FISCAL BRP</t>
  </si>
  <si>
    <t>Complemento Inst. Educativas: Alumno - PEREZ REYES MATIAS ALEJANDRO CURP - PERM180827HVZRYTA1 RFC - CCF210318PP4 Nivel Educativo - Primaria autRVOE - PRI/004/2015</t>
  </si>
  <si>
    <t>pago $600, por la difrencia de las colegiaturas de abril y mayo</t>
  </si>
  <si>
    <t>REBECA RODRIGUEZ GARCIA</t>
  </si>
  <si>
    <t>Complemento Inst. Educativas: Alumno - VALENTINA MARTINEZ RODRIGUEZ CURP - MARV181219MVZRDLA2 RFC - ROGR810920664 Nivel Educativo - Primaria autRVOE - PRI/004/2015</t>
  </si>
  <si>
    <t>CESAR ARTURO CRUZ GUZMAN</t>
  </si>
  <si>
    <t>Complemento Inst. Educativas: Alumno - CRUZ LANDA CESAR MATEO CURP - CULC170201HVZRNSA0 RFC - CUGC840908UR3 Nivel Educativo - Primaria Primaria autRVOE - PRI/004/2015</t>
  </si>
  <si>
    <t>EDUARDO ALFONSO MARTINEZ</t>
  </si>
  <si>
    <t>Complemento Inst. Educativas: Alumno - THIAGO ALFONSO FUENTES CURP - AOFT170512HVZLNHA3 RFC - AOME941002AD5 Nivel Educativo - Primaria autRVOE - PRI/004/2015</t>
  </si>
  <si>
    <t>AARON ASIEL ROQUE URBANO</t>
  </si>
  <si>
    <t>Complemento Inst. Educativas: Alumno - ASIEL ROQUE FUENTES CURP - ROFA170116HVZQNSA1 RFC - FUOA8704234S2 Nivel Educativo - Primaria autRVOE - PRI/004/2015</t>
  </si>
  <si>
    <t>LORENA CANCINO CRUZ</t>
  </si>
  <si>
    <t>Complemento Inst. Educativas: Alumno - AZAEL BAYLON CANCINO CURP - BXCA170923HVZYNZA0 RFC - CACL780721FCA Nivel Educativo - Primaria autRVOE - PRI/004/2015</t>
  </si>
  <si>
    <t>Complemento Inst. Educativas: Alumno - VLADIMIR BAYLON CANCINO CURP - BACV140206HVZYNLA2 RFC - CACL780721FCA Nivel Educativo - Primaria autRVOE - PRI/004/2015</t>
  </si>
  <si>
    <t>MIGUEL ANGEL CARRASCO PEREZ</t>
  </si>
  <si>
    <t>Complemento Inst. Educativas: Alumno - CARRASCO RAMIREZ SEBASTIAN CURP - CARS171130HVZRMBA6 RFC - CAPM790321FI4 Nivel Educativo - Primaria autRVOE - PRI/004/2015</t>
  </si>
  <si>
    <t>Complemento Inst. Educativas: Alumno - CARRASCO RAMIREZ ANGEL MATHIAS CURP - CARA150831HVZRMNA7 RFC - CAPM790321FI4 Nivel Educativo - Primaria autRVOE - PRI/004/2015</t>
  </si>
  <si>
    <t>PASO PAPA</t>
  </si>
  <si>
    <t>PAMELA COSTALES TIBURCIO</t>
  </si>
  <si>
    <t>Complemento Inst. Educativas: Alumno - MARCELO IVAN GARCIA CRUZ CURP - GACM170209HVZRRRA0 RFC - COTP851202G93 Nivel Educativo - Primaria autRVOE - PRI/004/2015</t>
  </si>
  <si>
    <t>TANIA OCAMPO LOPEZ</t>
  </si>
  <si>
    <t>Complemento Inst. Educativas: Alumno - JOSUE VALENCIA OCAMPO CURP - VAOJ170107HVZLCSA4 RFC - OALT920215RW5 Nivel Educativo - Primaria autRVOE - PRI/004/2015</t>
  </si>
  <si>
    <t>LUIS ALBERTO ARRIAGA OLALDE</t>
  </si>
  <si>
    <t>Complemento Inst. Educativas: Alumno - Gabriel Arriaga Perez CURP - AIPG170921HVZRRBA4 RFC - AIOL8801243P7 Nivel Educativo - Primaria autRVOE - PRI/004/2015</t>
  </si>
  <si>
    <t>KARINA GUADALUPE LIMON DIAZ</t>
  </si>
  <si>
    <t>Complemento Inst. Educativas: Alumno - LIAM HANIEL ROBLES LIMON CURP - ROLL170726HVZBMMA9 RFC - LIDK8801286S8 Nivel Educativo - Primaria autRVOE - PRI/004/2015</t>
  </si>
  <si>
    <t>289 (tarjeta cred)</t>
  </si>
  <si>
    <t>4162 /4328</t>
  </si>
  <si>
    <t>4163/4329</t>
  </si>
  <si>
    <t>4164/4330</t>
  </si>
  <si>
    <t>4300/4331</t>
  </si>
  <si>
    <t>TOMASA POSADAS VILLANUEVA</t>
  </si>
  <si>
    <t>Complemento Inst. Educativas: Alumno - EMIR ELÍAS GUZMÁN POSADAS CURP - GUPE161126HVZZSMA2 RFC - POVT770721GG6 Nivel Educativo - Primaria autRVOE - PRI/004/2015</t>
  </si>
  <si>
    <t>FACT</t>
  </si>
  <si>
    <t>10333 TC</t>
  </si>
  <si>
    <t>EDGAR MARIO HERNANDEZ MORENO</t>
  </si>
  <si>
    <t>Complemento Inst. Educativas: Alumno - MARÍA ESTHER HERNÁNEZ VARGAS CURP - HEVE160818MVZRRSA7 RFC - HEME8708202F8 Nivel Educativo - Primaria autRVOE - PRI/004/2015</t>
  </si>
  <si>
    <t>93721298 Y 64467721</t>
  </si>
  <si>
    <t>21/04/2026 Y 17/05/2026</t>
  </si>
  <si>
    <t>31010 TD</t>
  </si>
  <si>
    <t>TRANS TAR DEB</t>
  </si>
  <si>
    <t xml:space="preserve">COMENTA QUE ANTES DE FINALIZAR EL MES CUBRE LO DE MAYO Y EN JUNIO PAGA LOS RECARGOS </t>
  </si>
  <si>
    <t xml:space="preserve">MARZO </t>
  </si>
  <si>
    <t>427092 TD</t>
  </si>
  <si>
    <t>BETZABE PEREZ REYES</t>
  </si>
  <si>
    <t>Complemento Inst. Educativas: Alumno - PEREZ REYES BETZABE DEL ROSARIO CURP - PERB150905MVZRYTA2 RFC - BCA170725A94 Nivel Educativo - Primaria autRVO</t>
  </si>
  <si>
    <t>3RO PRESCOLAR</t>
  </si>
  <si>
    <t xml:space="preserve">ABRIL </t>
  </si>
  <si>
    <t>1ER PRIMARIA</t>
  </si>
  <si>
    <t>2DO PRIMARIA</t>
  </si>
  <si>
    <t>3RO PRIMARIA</t>
  </si>
  <si>
    <t>4TO PRIMARIA</t>
  </si>
  <si>
    <t>5TO PRIMARIA</t>
  </si>
  <si>
    <t>6TO PRIMARIA</t>
  </si>
  <si>
    <t>1RO SECUNDARIA</t>
  </si>
  <si>
    <t>2DO SECUNDARIA</t>
  </si>
  <si>
    <t>3RO SECUNDARIA</t>
  </si>
  <si>
    <t>SUMA MENSUAL</t>
  </si>
  <si>
    <t xml:space="preserve">TOTAL </t>
  </si>
  <si>
    <t>ADEUDOS PENDIENTES</t>
  </si>
  <si>
    <t>OK</t>
  </si>
  <si>
    <t>08705/2026</t>
  </si>
  <si>
    <t>VICTORIA POLA CARDENAS</t>
  </si>
  <si>
    <t>MARIA GUADALUPE DEL PILAR RODRIGUEZ CASTILLO</t>
  </si>
  <si>
    <t>Complemento Inst. Educativas: Alumno - TRUJILLO RODRIGUEZ JOSE GABRIEL CURP - TURG140528HJCRDBA6 RFC - ROCG8504197Y8 Nivel Educativo - Primaria autRVOE - PRI/004/2015</t>
  </si>
  <si>
    <t>TANIA FABIOLA LIMON DIAZ</t>
  </si>
  <si>
    <t>Complemento Inst. Educativas: Alumno - MEREDITH PAOLA LINARES LIMON CURP - LILM140112MVZNMRA2 RFC - LIDT860218CR6 Nivel Educativo - Primaria autRVOE - PRI/004/2015</t>
  </si>
  <si>
    <t>JOSÉ GABRIEL TRUJILLO RODRIGUEZ</t>
  </si>
  <si>
    <t>813641 TC</t>
  </si>
  <si>
    <t>813841 TC</t>
  </si>
  <si>
    <t>Complemento Inst. Educativas: Alumno - ANA ISABEL RODRIGUEZ CASTILLO CURP - ROCA080628MJCDSNA6 RFC - ROCG8504197Y8 Nivel Educativo - Bachillerato o su equivalente autRVOE - EMS/006/2022</t>
  </si>
  <si>
    <t>ISABELLA FERNANDA PEREZ VELAZQUEZ</t>
  </si>
  <si>
    <t>JUANA CRUZ VILLALOBOS</t>
  </si>
  <si>
    <t>Complemento Inst. Educativas: Alumno - LIA KARIME PEREZ CRUZ CURP - PECL141019MVZRRXA8 RFC - CUVJ850512D1A Nivel Educativo - Primaria autRVOE - PRI/004/2015</t>
  </si>
  <si>
    <t xml:space="preserve">SE ENVIO INF DE INSCRIPCIN </t>
  </si>
  <si>
    <t>….....</t>
  </si>
  <si>
    <t>Complemento Inst. Educativas: Alumno - CARLOS DANIEL TRUJILLO RODRIGUEZ CURP - TURC180305HSRRDRA6 RFC - ROCG8504197Y8 Nivel Educativo - Primaria autRVOE - PRI/004/2015</t>
  </si>
  <si>
    <t>Complemento Inst. Educativas: Alumno - IKER SANTIAGO SAAVEDRA GRAJEDA CURP - SAGI110826HVZVRKA5 RFC - GAAA910506L20 Nivel Educativo - Secundaria SG/002/2018</t>
  </si>
  <si>
    <t>28/0572023</t>
  </si>
  <si>
    <t>189807 D EFE</t>
  </si>
  <si>
    <t>260441 D EFE</t>
  </si>
  <si>
    <t>MONICA BERENICE ORDAZ HERNANDEZ</t>
  </si>
  <si>
    <t>COLEGIATURA ABRIL DEL CICLO ESCOLAR 2025-2026</t>
  </si>
  <si>
    <t>Complemento Inst. Educativas: Alumno - JAZMIN CAMACHO ORDAZ CURP - CAOJ140406MVZMRZA9 RFC - OAHM800721C23 Nivel Educativo - Primaria autRVOE - PRI/004/2015</t>
  </si>
  <si>
    <t>JORGE ALBERTO SOTO TRINIDAD</t>
  </si>
  <si>
    <t>Complemento Inst. Educativas: Alumno - CALEB SOTO ACOSTA CURP - SOAC141018HVZTCLA6 RFC - SOTJ840416DW4 Nivel Educativo - Primaria autRVOE - PRI</t>
  </si>
  <si>
    <t>JUAN CARLOS CARRILLO HIDALGO</t>
  </si>
  <si>
    <t>COLEGIATURA MAYO CICLO 2025-2026</t>
  </si>
  <si>
    <t>MILTON MORALES GOMEZ</t>
  </si>
  <si>
    <t>Complemento Inst. Educativas: Alumno - MORALES DOMINGUEZ DEREK URIEL CURP - MODD141103HVZRMRA2 RFC - MOGM750324MZ9 Nivel Educativo - Primaria autRVOE - PRI/004/2015</t>
  </si>
  <si>
    <t>Complemento Inst. Educativas: Alumno - MORALES DOMINGUEZ ADRIEL CURP - MODA110930HVZRMDA2 RFC - MOGM750324MZ9 Nivel Educativo - Secundaria autRVOE - SG/002/2018</t>
  </si>
  <si>
    <t>CONVENIO</t>
  </si>
  <si>
    <t>CONVENNIO</t>
  </si>
  <si>
    <t>PEND ENV COMP</t>
  </si>
  <si>
    <t>OBSERVACIÓN</t>
  </si>
  <si>
    <t>COLEGIATURA ABRIL CICLO 2025-2026</t>
  </si>
  <si>
    <t>Complemento Inst. Educativas: Alumno - ERIK LEOBARDO CASTELLANOS VARGAS CURP - CAVE140330HVZSRRA6 RFC - CABC760812PU7 Nivel Educativo - Primaria autRVOE</t>
  </si>
  <si>
    <t>64046  TD</t>
  </si>
  <si>
    <t>64046 TD</t>
  </si>
  <si>
    <t>Complemento Inst. Educativas: Alumno - EDITH FERNANDA GARCIA PEÑA CURP - GAPE120523MVZRXDA3 RFC - PESE8812203R4 Nivel Educativo -  Secundaria autRVOE - SG/002/2018</t>
  </si>
  <si>
    <t>Complemento Inst. Educativas: Alumno - LUIS MARIO HERNÁNDEZ VARGAS CURP - HEVL181028HVZRRSA2 RFC - HEME8708202F8 Nivel Educativo - Primaria autRVOE - PRI/004/2015</t>
  </si>
  <si>
    <t>ESTEFANIA PEREZ VALLES</t>
  </si>
  <si>
    <t>COLEGIATURA MES ABRIL DEL CICLO ESCOLAR 2025-2026</t>
  </si>
  <si>
    <t>Complemento Inst. Educativas: Alumno - ROMINA RODRIGUEZ PEREZ CURP - ROPR180105MVZDRMA2 RFC - ROPV890812HS0 Nivel Educativo - Primaria autRVOE - PRI/004</t>
  </si>
  <si>
    <t>JAVIER SORIANO KURI</t>
  </si>
  <si>
    <t>COLEGIATURA MES ABRIL CICLO 2025-2026</t>
  </si>
  <si>
    <t>Complemento Inst. Educativas: Alumno - RODRIGO SORIANO LAVÍN CURP - SOLR150617HVZRVDA6 RFC - SOKJ7410219Z7 Nivel Educativo - Primaria autRVOE - PRI/004/2015</t>
  </si>
  <si>
    <t>JORGE ALBERTO SALVADOR MARQUEZ</t>
  </si>
  <si>
    <t>767653 TC</t>
  </si>
  <si>
    <t>Complemento Inst. Educativas: Alumno - IMELDA MARTINEZ RUIZ CURP - MARI140509MVZRZMA8 RFC - RUHL781013HPA Nivel Educativo - Primaria autRVOE - PRI/004/2015</t>
  </si>
  <si>
    <t xml:space="preserve">PEND VERIF REG </t>
  </si>
  <si>
    <t>Complemento Inst. Educativas: Alumno - ZION USCANGA VAZQUEZ CURP - UAVZ131128HVZSZNA8 RFC - UACF7607024I9 Nivel Educativo - Secundaria autRVOE - SG/002/2018</t>
  </si>
  <si>
    <t>HEBE LUZ FONSECA SANDOVAL</t>
  </si>
  <si>
    <t>Complemento Inst. Educativas: Alumno - JIMENNA SOFIA OCHOA FONSECA CURP - OOFJ120730MTCCNMA7 RFC - FOSH791218EG5 Nivel Educativo - Secundaria autRVOE</t>
  </si>
  <si>
    <t>OMAR ALONZO SANCHEZ SUAREZ</t>
  </si>
  <si>
    <t>Complemento Inst. Educativas: Alumno - SANCHEZ SANTOS LUISA PAULETTE CURP - SASL120728MMCNNSA4 RFC - SASO891217J60 Nivel Educativo -  Secundaria autRVOE - SG/002/2018</t>
  </si>
  <si>
    <t>ROSA ALEGRIA TOALA</t>
  </si>
  <si>
    <t>COLEGIATURA MES ABRIL CICLO ESCOLAR 2025-2026</t>
  </si>
  <si>
    <t>Complemento Inst. Educativas: Alumno - ANGEL DE JESUS RABANALES ALEGRIA CURP - RAAA121101HVZBLNA0 RFC - AETR930824HX4 Nivel Educativo - Secundaria autRVOE - SG/002/2018</t>
  </si>
  <si>
    <t>85116 TD</t>
  </si>
  <si>
    <t>PAG</t>
  </si>
  <si>
    <t>NF</t>
  </si>
  <si>
    <t>44521/48221</t>
  </si>
  <si>
    <t>KARLA NAYELI VILLEGAS MARTINEZ</t>
  </si>
  <si>
    <t>Complemento Inst. Educativas: Alumno - MAXIMILIANO CISNEROS VILLEGAS CURP - CIVM150724HVZSLXA7 RFC - CIGM850910BR6 Nivel Educativo - Primaria autRVOE - PRI/004/2015</t>
  </si>
  <si>
    <t>82731 TD</t>
  </si>
  <si>
    <t>126527 TD</t>
  </si>
  <si>
    <t>AMADO PORTESGIL FRANCO</t>
  </si>
  <si>
    <t>ARMANDO MORENO CAMPOS</t>
  </si>
  <si>
    <t>Complemento Inst. Educativas: Alumno - VALERIA MORENO GERMAN CURP - MOGV140207MVZRRLA1 RFC - MOCA830411GP9 Nivel Educativo - Primaria autRVOE - PRI/004/2015</t>
  </si>
  <si>
    <t>Complemento Inst. Educativas: Alumno - NAOMI CARRILLO GONZALEZ CURP - CAGN140316MVZRNMA6 RFC - CAHJ801113A82 Nivel Educativo - Primaria autRVOE - PRI/004/2015</t>
  </si>
  <si>
    <t>Complemento Inst. Educativas: Alumno - BRYAN YAEL RODRIGUEZ LOPEZ CURP - ROLB130609HVZDPRA1RFC - POFA980323N76 Nivel Educativo - Primaria autRVOE - PRI/004/2015</t>
  </si>
  <si>
    <t>JOSE MANUEL MONTESINOS CULEBRO</t>
  </si>
  <si>
    <t>KARLA VALENTINA ROSALES SAN JUAN</t>
  </si>
  <si>
    <t>PABLO BONILLA DELGADO</t>
  </si>
  <si>
    <t>COLEGIATURA DEL MES DE MAYO CICLO ESCOLAR 2025-2026. Complemento Inst. Educativas: Alumno - DEREK YAHIR BONILLA MARTINEZ CURP - OMD151107HVZNRRA8 RFC - MAOP8902255G3 Nivel Educativo - Primaria aut RVOE - PRI/004/2015</t>
  </si>
  <si>
    <t>Ya no factura</t>
  </si>
  <si>
    <t>02706/2026</t>
  </si>
  <si>
    <t>pago anual</t>
  </si>
  <si>
    <t>872251 TD</t>
  </si>
  <si>
    <t>2700 TD</t>
  </si>
  <si>
    <t>JOSE ALEJANDRO SERVIN RIVERA</t>
  </si>
  <si>
    <t>Complemento Inst. Educativas: Alumno - GABRIEL ALEJANDRO SERVIN SOVERANO CURP - SESG120717HVZRBBA3 RFC - SERA920504TU6 Nivel Educativo - Secundaria autRVOE - SG/002/2018</t>
  </si>
  <si>
    <t>COLEGIATURA No. 1 CICLO ESCOLAR 2026-2027.</t>
  </si>
  <si>
    <t>EDUARDO SANCHEZ GARCIA</t>
  </si>
  <si>
    <t>Complemento Inst. Educativas: Alumno - ELIAS EDUARDO SANCHEZ DIAZ CURP - SADE121224HVZNZLA2 RFC - SAGE511013974 Nivel Educativo -  Secundaria autRVOE - SG/002/2018</t>
  </si>
  <si>
    <t>7487 TD</t>
  </si>
  <si>
    <t>7471 TD</t>
  </si>
  <si>
    <t>Complemento Inst. Educativas: Alumno - ARYED ALEJANDRA MONTESINOS GARCIA CURP - MOGA110725MVZNRRB5 RFC - MOCM640228RZ9 Nivel Educativo - Secundaria autRVOE - SG/002/2018</t>
  </si>
  <si>
    <t>HECTOR SANTIAGO HERNANDEZ</t>
  </si>
  <si>
    <t>Complemento Inst. Educativas: Alumno - ERENDIRA DANAE SANTIAGO MARTINEZ CURP - SAME141207MVZNRRA6 RFC - SAHH660727BK2 Nivel Educativo - Primaria autRVOE - PRI/004/2015</t>
  </si>
  <si>
    <t>.</t>
  </si>
  <si>
    <t>YELENA ROSAS SANCHEZ</t>
  </si>
  <si>
    <t>Complemento Inst. Educativas: Alumno - ARIADNA SORIANO LAVIN CURP - SOLA120903MVZRVRA3 RFC - SOKJ7410219Z7 Nivel Educativo - Secundaria autRVOE - SG/0</t>
  </si>
  <si>
    <t>GENARO MARTINEZ TOLEDO</t>
  </si>
  <si>
    <t>Complemento Inst. Educativas: Alumno - DIANA MARTINEZ MENDOZA CURP - MAMD170819MVZRNNA6 RFC -  MATG8305184H6 Nivel Educativo - Primaria autRVOE - PRI/004/2015</t>
  </si>
  <si>
    <t>05/060/2026</t>
  </si>
  <si>
    <t>92896 TC</t>
  </si>
  <si>
    <t>05706/2026</t>
  </si>
  <si>
    <t>05/0672026</t>
  </si>
  <si>
    <t>402442 TC</t>
  </si>
  <si>
    <t>951654 TC</t>
  </si>
  <si>
    <t>158878 TC</t>
  </si>
  <si>
    <t>06706/2026</t>
  </si>
  <si>
    <t>DARVIN GONZALEZ GOMEZ</t>
  </si>
  <si>
    <t>07706/2026</t>
  </si>
  <si>
    <t>799705 TC</t>
  </si>
  <si>
    <t>ANUAL ???</t>
  </si>
  <si>
    <t>007/06/2026</t>
  </si>
  <si>
    <t>comenta: Buenos días le comenté a la directora que no me a completaba para el pago de colegiatura</t>
  </si>
  <si>
    <t>959113 TC</t>
  </si>
  <si>
    <t>470691 TC</t>
  </si>
  <si>
    <t>39099 TD</t>
  </si>
  <si>
    <t>84865 TC</t>
  </si>
  <si>
    <t>Complemento Inst. Educativas: Alumna - ISABELLA FERNANDA PEREZ VELAZQUEZ CURP - PEVI170125MVZRLSA4 RFC - GACR771202773 Nivel Educativo - Primaria autRVOE - PRI/004/2015</t>
  </si>
  <si>
    <t>RIGOBERTO GARDUZA DE LA CRUZ</t>
  </si>
  <si>
    <t>Complemento Inst. Educativas: Alumno - EMILIANO  PEREZ VELAZQUEZ CURP - PEVE130727HVZRLMA3 RFC - GACR771202773 Nivel Educativo - Secundaria autRVOE - SG/002/2018</t>
  </si>
  <si>
    <t>ANA LUZ PORTILLA RODRIGUEZ</t>
  </si>
  <si>
    <t>convenio</t>
  </si>
  <si>
    <t>NO LOC NUMERO</t>
  </si>
  <si>
    <t>PEND SOL NVO PAGO</t>
  </si>
  <si>
    <t>pend apenas pago mayo</t>
  </si>
  <si>
    <t>SF TRNS</t>
  </si>
  <si>
    <t>PEND DE AVISAR</t>
  </si>
  <si>
    <t xml:space="preserve">QUEDO DE PASAR A FIN DE MES </t>
  </si>
  <si>
    <t>APENAS PAGO ABRIL</t>
  </si>
  <si>
    <t>APENAS PAGO LOS PEND</t>
  </si>
  <si>
    <t>21421 TC</t>
  </si>
  <si>
    <t>ANUAL</t>
  </si>
  <si>
    <t xml:space="preserve">YA PASO PAGARA 15 Y 19 </t>
  </si>
  <si>
    <t>AGREGAR</t>
  </si>
  <si>
    <t>0349 TD</t>
  </si>
  <si>
    <t>455512I</t>
  </si>
  <si>
    <t>fac ok</t>
  </si>
  <si>
    <t>fact ok</t>
  </si>
  <si>
    <t>Complemento Inst. Educativas: Alumno - SARA ALANI CRUZ PORTILLA CURP - CUPS210115MVZRRRA7 RFC -  Nivel Educativo - Preescolar autRVOE - PRE/004/2015</t>
  </si>
  <si>
    <t>Complemento Inst. Educativas: Alumno - MATEO CRUZ PORTILLA CURP - CUPM170126HVZRRTA3 RFC -  Nivel Educativo - Primaria autRVOE - PRI/004/2015</t>
  </si>
  <si>
    <t>no fact</t>
  </si>
  <si>
    <t>YOSHIMI MADARA BURELO OLIVARES</t>
  </si>
  <si>
    <t>Complemento Inst. Educativas: Alumno - MATIAS SAUL RIVAS GRAJEDA CURP - RIGM190113HCSVRTA9 RFC - GAAA910506L20 Nivel Educativo - Primaria autRVOE - PRI/004/2015</t>
  </si>
  <si>
    <t>FACT OK</t>
  </si>
  <si>
    <t>NO FACT</t>
  </si>
  <si>
    <t>Complemento Inst. Educativas: Alumno - YESHUA FERNANDO VALENCIA OCAMPO CURP - VAOY150108HVZLCSA1 RFC - OALT920215RW5 Nivel Educativo - Primaria autRVOE - PRI/004/2015</t>
  </si>
  <si>
    <t>Complemento Inst. Educativas: Alumno - ALANA XIMENA CASTILLO ABREU CURP - CAAA160311MVZSBLA2 RFC - AEPJ951103QHA Nivel Educativo - Primaria autRVOE - PRI/004/2015</t>
  </si>
  <si>
    <t>JUANA YOLANDA ABREU PEREZ</t>
  </si>
  <si>
    <t>445359 TD</t>
  </si>
  <si>
    <t>17/0672026</t>
  </si>
  <si>
    <t>NOTA: PAGO RECARGOS DE ABRIL Y MAYO 18/06/2026 $800 F-4193773</t>
  </si>
  <si>
    <t>11/0672026</t>
  </si>
  <si>
    <t>COLEGIATURA SEPTIEMBRE DEL CICLO ESCOLAR 2025-2026</t>
  </si>
  <si>
    <t>DANIELA EUGENIA MARTINEZ BRAVO</t>
  </si>
  <si>
    <t>Complemento Inst. Educativas: Alumno - DANIELA MICHELLE ULIN MARTINEZ CURP - UIMD151104MVZLRNA9 RFC - MABD810411U81 Nivel Educativo - Primaria autRVOE - PRI/004/2015</t>
  </si>
  <si>
    <t>24706/2026</t>
  </si>
  <si>
    <t>EXAMENES EXT</t>
  </si>
  <si>
    <t xml:space="preserve">POR WAT QUE EL DIA 02 LIQUIDA </t>
  </si>
  <si>
    <t>MARTHA ELBA GARCIA MUMENTHEY</t>
  </si>
  <si>
    <t>GAMM7507299A6</t>
  </si>
  <si>
    <t>Complemento Inst. Educativas: Alumno - VELAZQUEZ GARCIA ANGEL MATEO CURP - VEGA150317HVZLRNA3 RFC - GAMM7507299A6 Nivel Educativo - Primaria autRVOE - PRI/004/2015</t>
  </si>
  <si>
    <t>Complemento Inst. Educativas: Alumno - GARCIA RUIZ VALENTINA CURP - GARV150316MVZRZLA5 RFC - GATI800420AM5 Nivel Educativo - Primaria autRVOE - PRI/004/2015</t>
  </si>
  <si>
    <t xml:space="preserve">NO FACT </t>
  </si>
  <si>
    <t>VERIF RFC FACT</t>
  </si>
  <si>
    <t>JULIO CESAR CORONA MORALES</t>
  </si>
  <si>
    <t>Complemento Inst. Educativas: Alumno - GAEL ANTONIO JUAREZ FUENTES CURP - JUFG131120HVZRNLA4 RFC - COMJ7409244Q4 Nivel Educativo - Primaria autRVOE - PRI/004/2015</t>
  </si>
  <si>
    <t>MONICA MARTINEZ YEPEZ</t>
  </si>
  <si>
    <t>Complemento Inst. Educativas: Alumno - EVAN MATIAS ZARAGOZA MARTINEZ CURP - MAYM881024MVZRPN01 RFC - MAYM881024BP0 Nivel Educativo - Secundaria autRVOE - SG/002/2018</t>
  </si>
  <si>
    <t>NO TIENE FACT</t>
  </si>
  <si>
    <t>62272735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</si>
</sst>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8" formatCode="&quot;$&quot;#,##0.00;[Red]\-&quot;$&quot;#,##0.00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</numFmts>
  <fonts count="1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Berlin Sans FB Demi"/>
      <family val="2"/>
    </font>
    <font>
      <b/>
      <sz val="8"/>
      <color theme="1"/>
      <name val="Berlin Sans FB Demi"/>
      <family val="2"/>
    </font>
    <font>
      <sz val="11"/>
      <name val="Calibri"/>
      <family val="2"/>
      <scheme val="minor"/>
    </font>
    <font>
      <b/>
      <sz val="16"/>
      <color rgb="FF002060"/>
      <name val="Bodoni MT"/>
      <family val="1"/>
      <charset val="1"/>
    </font>
    <font>
      <sz val="11"/>
      <color rgb="FF000000"/>
      <name val="Bodoni MT"/>
      <family val="1"/>
      <charset val="1"/>
    </font>
    <font>
      <sz val="14"/>
      <color rgb="FF000000"/>
      <name val="Bodoni MT"/>
      <family val="1"/>
      <charset val="1"/>
    </font>
    <font>
      <sz val="10"/>
      <color rgb="FF000000"/>
      <name val="Bodoni MT"/>
      <family val="1"/>
      <charset val="1"/>
    </font>
    <font>
      <sz val="12"/>
      <color rgb="FF000000"/>
      <name val="Bodoni MT"/>
      <family val="1"/>
      <charset val="1"/>
    </font>
    <font>
      <b/>
      <sz val="28"/>
      <color rgb="FF002060"/>
      <name val="Bodoni MT"/>
      <family val="1"/>
      <charset val="1"/>
    </font>
    <font>
      <b/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sz val="11"/>
      <color theme="1"/>
      <name val="Berlin Sans FB Demi"/>
      <family val="2"/>
    </font>
    <font>
      <sz val="10"/>
      <color rgb="FF000000"/>
      <name val="Arial"/>
      <family val="2"/>
    </font>
    <font>
      <b/>
      <sz val="11"/>
      <color theme="1"/>
      <name val="Berlin Sans FB Demi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b/>
      <u/>
      <sz val="11"/>
      <color theme="7" tint="-0.499984740745262"/>
      <name val="Arial Narrow"/>
      <family val="2"/>
    </font>
    <font>
      <sz val="11"/>
      <color theme="1"/>
      <name val="Century Gothic"/>
      <family val="2"/>
    </font>
    <font>
      <b/>
      <sz val="11"/>
      <name val="Century Gothic"/>
      <family val="2"/>
    </font>
    <font>
      <b/>
      <u/>
      <sz val="11"/>
      <color theme="7" tint="-0.499984740745262"/>
      <name val="Century Gothic"/>
      <family val="2"/>
    </font>
    <font>
      <sz val="11"/>
      <name val="Century Gothic"/>
      <family val="2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9"/>
      <name val="Century Gothic"/>
      <family val="2"/>
    </font>
    <font>
      <sz val="10"/>
      <name val="Century Gothic"/>
      <family val="2"/>
    </font>
    <font>
      <sz val="9"/>
      <name val="Century Gothic"/>
      <family val="2"/>
    </font>
    <font>
      <sz val="11"/>
      <color rgb="FF000000"/>
      <name val="Century Gothic"/>
      <family val="2"/>
    </font>
    <font>
      <b/>
      <sz val="10"/>
      <color theme="1"/>
      <name val="Berlin Sans FB Demi"/>
      <family val="2"/>
    </font>
    <font>
      <sz val="10"/>
      <color theme="1"/>
      <name val="Calibri"/>
      <family val="2"/>
      <scheme val="minor"/>
    </font>
    <font>
      <b/>
      <sz val="9"/>
      <color theme="1"/>
      <name val="Century Gothic"/>
      <family val="2"/>
    </font>
    <font>
      <b/>
      <sz val="11"/>
      <color theme="1"/>
      <name val="Century Gothic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Arial Narrow"/>
      <family val="2"/>
    </font>
    <font>
      <sz val="11"/>
      <color theme="7" tint="-0.499984740745262"/>
      <name val="Century Gothic"/>
      <family val="2"/>
    </font>
    <font>
      <sz val="8"/>
      <name val="Calibri"/>
      <family val="2"/>
      <scheme val="minor"/>
    </font>
    <font>
      <b/>
      <sz val="11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entury Gothic"/>
      <family val="2"/>
    </font>
    <font>
      <b/>
      <sz val="10"/>
      <color rgb="FFC00000"/>
      <name val="Century Gothic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rgb="FFED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2060"/>
      <name val="Bodoni MT"/>
      <family val="1"/>
      <charset val="1"/>
    </font>
    <font>
      <sz val="9"/>
      <color rgb="FF000000"/>
      <name val="Bodoni MT"/>
      <family val="1"/>
      <charset val="1"/>
    </font>
    <font>
      <b/>
      <u/>
      <sz val="9"/>
      <color theme="7" tint="-0.499984740745262"/>
      <name val="Century Gothic"/>
      <family val="2"/>
    </font>
    <font>
      <sz val="9"/>
      <color rgb="FF000000"/>
      <name val="Century Gothic"/>
      <family val="2"/>
    </font>
    <font>
      <b/>
      <sz val="10"/>
      <color rgb="FF002060"/>
      <name val="Bodoni MT"/>
      <family val="1"/>
      <charset val="1"/>
    </font>
    <font>
      <b/>
      <sz val="10"/>
      <color theme="1"/>
      <name val="Calibri"/>
      <family val="2"/>
      <scheme val="minor"/>
    </font>
    <font>
      <b/>
      <u/>
      <sz val="10"/>
      <color theme="7" tint="-0.499984740745262"/>
      <name val="Century Gothic"/>
      <family val="2"/>
    </font>
    <font>
      <sz val="10"/>
      <color theme="1"/>
      <name val="Berlin Sans FB Demi"/>
      <family val="2"/>
    </font>
    <font>
      <b/>
      <sz val="10"/>
      <color rgb="FFFF0000"/>
      <name val="Century Gothic"/>
      <family val="2"/>
    </font>
    <font>
      <sz val="10"/>
      <color theme="1"/>
      <name val="Arial Narrow"/>
      <family val="2"/>
    </font>
    <font>
      <b/>
      <sz val="10"/>
      <name val="Arial Narrow"/>
      <family val="2"/>
    </font>
    <font>
      <b/>
      <u/>
      <sz val="10"/>
      <color theme="7" tint="-0.499984740745262"/>
      <name val="Arial Narrow"/>
      <family val="2"/>
    </font>
    <font>
      <b/>
      <sz val="10"/>
      <color theme="1"/>
      <name val="Arial Narrow"/>
      <family val="2"/>
    </font>
    <font>
      <sz val="10"/>
      <name val="Calibri"/>
      <family val="2"/>
      <scheme val="minor"/>
    </font>
    <font>
      <sz val="10"/>
      <name val="Arial Narrow"/>
      <family val="2"/>
    </font>
    <font>
      <b/>
      <sz val="10"/>
      <color rgb="FFC00000"/>
      <name val="Arial Narrow"/>
      <family val="2"/>
    </font>
    <font>
      <b/>
      <sz val="9"/>
      <color rgb="FFC00000"/>
      <name val="Century Gothic"/>
      <family val="2"/>
    </font>
    <font>
      <b/>
      <sz val="9"/>
      <color rgb="FFFF0000"/>
      <name val="Arial"/>
      <family val="2"/>
    </font>
    <font>
      <sz val="9"/>
      <name val="Calibri"/>
      <family val="2"/>
      <scheme val="minor"/>
    </font>
    <font>
      <b/>
      <sz val="9"/>
      <color rgb="FFED0000"/>
      <name val="Century Gothic"/>
      <family val="2"/>
    </font>
    <font>
      <sz val="9"/>
      <color theme="1"/>
      <name val="Arial Narrow"/>
      <family val="2"/>
    </font>
    <font>
      <b/>
      <u/>
      <sz val="9"/>
      <color theme="7" tint="-0.499984740745262"/>
      <name val="Arial Narrow"/>
      <family val="2"/>
    </font>
    <font>
      <sz val="9"/>
      <name val="Arial Narrow"/>
      <family val="2"/>
    </font>
    <font>
      <b/>
      <sz val="9"/>
      <color rgb="FFFF0000"/>
      <name val="Arial Narrow"/>
      <family val="2"/>
    </font>
    <font>
      <b/>
      <sz val="9"/>
      <color rgb="FF000000"/>
      <name val="Century Gothic"/>
      <family val="2"/>
    </font>
    <font>
      <b/>
      <sz val="10"/>
      <color rgb="FFC00000"/>
      <name val="Arial"/>
      <family val="2"/>
    </font>
    <font>
      <b/>
      <sz val="9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C00000"/>
      <name val="Arial Narrow"/>
      <family val="2"/>
    </font>
    <font>
      <b/>
      <u/>
      <sz val="10"/>
      <color rgb="FFC00000"/>
      <name val="Arial Narrow"/>
      <family val="2"/>
    </font>
    <font>
      <b/>
      <sz val="10"/>
      <name val="Calibri"/>
      <family val="2"/>
      <scheme val="minor"/>
    </font>
    <font>
      <b/>
      <sz val="9"/>
      <color theme="1"/>
      <name val="Arial Narrow"/>
      <family val="2"/>
    </font>
    <font>
      <sz val="9"/>
      <color rgb="FFC00000"/>
      <name val="Calibri"/>
      <family val="2"/>
      <scheme val="minor"/>
    </font>
    <font>
      <b/>
      <u/>
      <sz val="9"/>
      <color theme="7" tint="-0.499984740745262"/>
      <name val="Arial"/>
      <family val="2"/>
    </font>
    <font>
      <sz val="9"/>
      <color rgb="FFFF0000"/>
      <name val="Century Gothic"/>
      <family val="2"/>
    </font>
    <font>
      <b/>
      <sz val="9"/>
      <color theme="5"/>
      <name val="Arial Narrow"/>
      <family val="2"/>
    </font>
    <font>
      <b/>
      <sz val="9"/>
      <color theme="5"/>
      <name val="Calibri"/>
      <family val="2"/>
      <scheme val="minor"/>
    </font>
    <font>
      <b/>
      <sz val="9"/>
      <color theme="5"/>
      <name val="Arial"/>
      <family val="2"/>
    </font>
    <font>
      <b/>
      <sz val="11"/>
      <color rgb="FFED0000"/>
      <name val="Century Gothic"/>
      <family val="2"/>
    </font>
    <font>
      <sz val="10"/>
      <color rgb="FFFF0000"/>
      <name val="Calibri"/>
      <family val="2"/>
      <scheme val="minor"/>
    </font>
    <font>
      <sz val="8"/>
      <color theme="1"/>
      <name val="Century Gothic"/>
      <family val="2"/>
    </font>
    <font>
      <b/>
      <sz val="8"/>
      <color rgb="FF002060"/>
      <name val="Century Gothic"/>
      <family val="2"/>
    </font>
    <font>
      <sz val="8"/>
      <color rgb="FF000000"/>
      <name val="Century Gothic"/>
      <family val="2"/>
    </font>
    <font>
      <b/>
      <sz val="8"/>
      <color theme="1"/>
      <name val="Century Gothic"/>
      <family val="2"/>
    </font>
    <font>
      <b/>
      <sz val="8"/>
      <name val="Century Gothic"/>
      <family val="2"/>
    </font>
    <font>
      <b/>
      <u/>
      <sz val="8"/>
      <color theme="7" tint="-0.499984740745262"/>
      <name val="Century Gothic"/>
      <family val="2"/>
    </font>
    <font>
      <sz val="8"/>
      <name val="Century Gothic"/>
      <family val="2"/>
    </font>
    <font>
      <b/>
      <sz val="8"/>
      <color theme="7" tint="-0.499984740745262"/>
      <name val="Century Gothic"/>
      <family val="2"/>
    </font>
    <font>
      <b/>
      <sz val="8"/>
      <color rgb="FFC00000"/>
      <name val="Century Gothic"/>
      <family val="2"/>
    </font>
    <font>
      <b/>
      <sz val="8"/>
      <color rgb="FFFF0000"/>
      <name val="Century Gothic"/>
      <family val="2"/>
    </font>
    <font>
      <b/>
      <sz val="9"/>
      <color theme="5" tint="-0.249977111117893"/>
      <name val="Century Gothic"/>
      <family val="2"/>
    </font>
    <font>
      <b/>
      <sz val="10"/>
      <color rgb="FFFF0000"/>
      <name val="Arial Narrow"/>
      <family val="2"/>
    </font>
    <font>
      <b/>
      <sz val="11"/>
      <color rgb="FFC00000"/>
      <name val="Century Gothic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6D44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555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FDA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3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4" fontId="0" fillId="7" borderId="7" xfId="1" applyFont="1" applyFill="1" applyBorder="1"/>
    <xf numFmtId="44" fontId="0" fillId="5" borderId="7" xfId="1" applyFont="1" applyFill="1" applyBorder="1"/>
    <xf numFmtId="44" fontId="0" fillId="6" borderId="7" xfId="1" applyFont="1" applyFill="1" applyBorder="1"/>
    <xf numFmtId="0" fontId="0" fillId="8" borderId="7" xfId="0" applyFill="1" applyBorder="1"/>
    <xf numFmtId="0" fontId="0" fillId="9" borderId="9" xfId="0" applyFill="1" applyBorder="1"/>
    <xf numFmtId="0" fontId="12" fillId="0" borderId="7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3" fillId="10" borderId="6" xfId="0" applyFont="1" applyFill="1" applyBorder="1" applyAlignment="1">
      <alignment horizontal="center"/>
    </xf>
    <xf numFmtId="44" fontId="3" fillId="10" borderId="5" xfId="1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44" fontId="3" fillId="4" borderId="6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44" fontId="3" fillId="12" borderId="6" xfId="1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44" fontId="4" fillId="13" borderId="8" xfId="1" applyFont="1" applyFill="1" applyBorder="1" applyAlignment="1">
      <alignment horizontal="center"/>
    </xf>
    <xf numFmtId="44" fontId="0" fillId="14" borderId="7" xfId="1" applyFont="1" applyFill="1" applyBorder="1"/>
    <xf numFmtId="44" fontId="15" fillId="0" borderId="1" xfId="1" applyFont="1" applyFill="1" applyBorder="1" applyAlignment="1">
      <alignment horizontal="center" vertical="center"/>
    </xf>
    <xf numFmtId="1" fontId="15" fillId="0" borderId="1" xfId="1" applyNumberFormat="1" applyFont="1" applyFill="1" applyBorder="1" applyAlignment="1">
      <alignment horizontal="center" vertical="center"/>
    </xf>
    <xf numFmtId="6" fontId="15" fillId="0" borderId="1" xfId="1" applyNumberFormat="1" applyFont="1" applyFill="1" applyBorder="1" applyAlignment="1">
      <alignment horizontal="center"/>
    </xf>
    <xf numFmtId="14" fontId="15" fillId="0" borderId="1" xfId="1" applyNumberFormat="1" applyFont="1" applyFill="1" applyBorder="1" applyAlignment="1">
      <alignment horizontal="center"/>
    </xf>
    <xf numFmtId="44" fontId="15" fillId="0" borderId="1" xfId="1" applyFont="1" applyFill="1" applyBorder="1" applyAlignment="1">
      <alignment horizontal="center"/>
    </xf>
    <xf numFmtId="1" fontId="15" fillId="0" borderId="1" xfId="1" applyNumberFormat="1" applyFont="1" applyFill="1" applyBorder="1" applyAlignment="1">
      <alignment horizontal="center"/>
    </xf>
    <xf numFmtId="44" fontId="15" fillId="0" borderId="1" xfId="1" applyFont="1" applyFill="1" applyBorder="1"/>
    <xf numFmtId="44" fontId="17" fillId="0" borderId="1" xfId="1" applyFont="1" applyFill="1" applyBorder="1" applyAlignment="1">
      <alignment vertical="center"/>
    </xf>
    <xf numFmtId="44" fontId="15" fillId="0" borderId="1" xfId="1" applyFont="1" applyFill="1" applyBorder="1" applyAlignment="1">
      <alignment vertical="center"/>
    </xf>
    <xf numFmtId="9" fontId="15" fillId="0" borderId="1" xfId="2" applyFont="1" applyFill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49" fontId="19" fillId="0" borderId="1" xfId="0" applyNumberFormat="1" applyFont="1" applyBorder="1" applyAlignment="1">
      <alignment horizontal="center"/>
    </xf>
    <xf numFmtId="0" fontId="4" fillId="11" borderId="13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1" fillId="15" borderId="9" xfId="0" applyFont="1" applyFill="1" applyBorder="1" applyAlignment="1">
      <alignment horizontal="center" vertical="center"/>
    </xf>
    <xf numFmtId="0" fontId="21" fillId="15" borderId="10" xfId="0" applyFont="1" applyFill="1" applyBorder="1" applyAlignment="1">
      <alignment horizontal="center" vertical="center"/>
    </xf>
    <xf numFmtId="0" fontId="21" fillId="15" borderId="11" xfId="0" applyFont="1" applyFill="1" applyBorder="1" applyAlignment="1">
      <alignment horizontal="center" vertical="center"/>
    </xf>
    <xf numFmtId="44" fontId="14" fillId="0" borderId="16" xfId="1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0" fontId="15" fillId="0" borderId="29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 vertical="center"/>
    </xf>
    <xf numFmtId="1" fontId="14" fillId="0" borderId="30" xfId="0" applyNumberFormat="1" applyFont="1" applyBorder="1" applyAlignment="1">
      <alignment horizontal="center" vertical="center"/>
    </xf>
    <xf numFmtId="44" fontId="14" fillId="0" borderId="29" xfId="1" applyFont="1" applyFill="1" applyBorder="1" applyAlignment="1">
      <alignment horizontal="center" vertical="center"/>
    </xf>
    <xf numFmtId="14" fontId="14" fillId="0" borderId="12" xfId="0" applyNumberFormat="1" applyFont="1" applyBorder="1" applyAlignment="1">
      <alignment horizontal="center" vertical="center"/>
    </xf>
    <xf numFmtId="8" fontId="14" fillId="0" borderId="16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4" fontId="15" fillId="0" borderId="1" xfId="0" applyNumberFormat="1" applyFont="1" applyBorder="1"/>
    <xf numFmtId="0" fontId="5" fillId="0" borderId="0" xfId="0" applyFont="1"/>
    <xf numFmtId="49" fontId="15" fillId="0" borderId="1" xfId="0" applyNumberFormat="1" applyFont="1" applyBorder="1" applyAlignment="1">
      <alignment horizontal="center"/>
    </xf>
    <xf numFmtId="44" fontId="0" fillId="0" borderId="0" xfId="0" applyNumberFormat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wrapText="1"/>
    </xf>
    <xf numFmtId="14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9" fontId="15" fillId="0" borderId="1" xfId="0" applyNumberFormat="1" applyFont="1" applyBorder="1" applyAlignment="1">
      <alignment horizontal="center"/>
    </xf>
    <xf numFmtId="44" fontId="2" fillId="0" borderId="0" xfId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wrapText="1"/>
    </xf>
    <xf numFmtId="44" fontId="17" fillId="0" borderId="1" xfId="1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44" fontId="17" fillId="0" borderId="1" xfId="1" applyFont="1" applyFill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23" fillId="15" borderId="9" xfId="0" applyFont="1" applyFill="1" applyBorder="1" applyAlignment="1">
      <alignment horizontal="center" vertical="center"/>
    </xf>
    <xf numFmtId="0" fontId="23" fillId="15" borderId="10" xfId="0" applyFont="1" applyFill="1" applyBorder="1" applyAlignment="1">
      <alignment horizontal="center" vertical="center"/>
    </xf>
    <xf numFmtId="0" fontId="23" fillId="15" borderId="11" xfId="0" applyFont="1" applyFill="1" applyBorder="1" applyAlignment="1">
      <alignment horizontal="center" vertical="center"/>
    </xf>
    <xf numFmtId="44" fontId="3" fillId="10" borderId="35" xfId="1" applyFont="1" applyFill="1" applyBorder="1" applyAlignment="1">
      <alignment horizontal="center"/>
    </xf>
    <xf numFmtId="0" fontId="3" fillId="10" borderId="36" xfId="0" applyFont="1" applyFill="1" applyBorder="1" applyAlignment="1">
      <alignment horizontal="center"/>
    </xf>
    <xf numFmtId="44" fontId="3" fillId="12" borderId="38" xfId="1" applyFont="1" applyFill="1" applyBorder="1" applyAlignment="1">
      <alignment horizontal="center"/>
    </xf>
    <xf numFmtId="0" fontId="0" fillId="0" borderId="0" xfId="0" applyAlignment="1">
      <alignment vertical="center"/>
    </xf>
    <xf numFmtId="0" fontId="26" fillId="0" borderId="12" xfId="0" applyFont="1" applyBorder="1" applyAlignment="1">
      <alignment horizontal="center" vertical="center" wrapText="1"/>
    </xf>
    <xf numFmtId="44" fontId="25" fillId="0" borderId="1" xfId="1" applyFont="1" applyFill="1" applyBorder="1" applyAlignment="1">
      <alignment horizontal="center" vertical="center"/>
    </xf>
    <xf numFmtId="14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wrapText="1"/>
    </xf>
    <xf numFmtId="0" fontId="4" fillId="11" borderId="9" xfId="0" applyFont="1" applyFill="1" applyBorder="1" applyAlignment="1">
      <alignment horizontal="center" vertical="center"/>
    </xf>
    <xf numFmtId="1" fontId="27" fillId="0" borderId="1" xfId="1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wrapText="1"/>
    </xf>
    <xf numFmtId="44" fontId="27" fillId="0" borderId="2" xfId="1" applyFont="1" applyFill="1" applyBorder="1" applyAlignment="1">
      <alignment horizontal="center" vertical="center"/>
    </xf>
    <xf numFmtId="44" fontId="27" fillId="0" borderId="1" xfId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9" fontId="27" fillId="0" borderId="1" xfId="2" applyFont="1" applyFill="1" applyBorder="1" applyAlignment="1">
      <alignment horizontal="center" vertical="center"/>
    </xf>
    <xf numFmtId="44" fontId="27" fillId="0" borderId="17" xfId="1" applyFont="1" applyFill="1" applyBorder="1" applyAlignment="1">
      <alignment horizontal="center" vertical="center"/>
    </xf>
    <xf numFmtId="9" fontId="27" fillId="0" borderId="1" xfId="0" applyNumberFormat="1" applyFont="1" applyBorder="1" applyAlignment="1">
      <alignment horizontal="center" vertical="center"/>
    </xf>
    <xf numFmtId="44" fontId="30" fillId="0" borderId="1" xfId="1" applyFont="1" applyFill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44" fontId="30" fillId="0" borderId="2" xfId="1" applyFont="1" applyFill="1" applyBorder="1" applyAlignment="1">
      <alignment horizontal="center" vertical="center"/>
    </xf>
    <xf numFmtId="44" fontId="30" fillId="0" borderId="17" xfId="1" applyFont="1" applyFill="1" applyBorder="1" applyAlignment="1">
      <alignment horizontal="center" vertical="center"/>
    </xf>
    <xf numFmtId="14" fontId="27" fillId="0" borderId="1" xfId="0" applyNumberFormat="1" applyFont="1" applyBorder="1" applyAlignment="1">
      <alignment horizontal="center" vertical="center" wrapText="1"/>
    </xf>
    <xf numFmtId="1" fontId="27" fillId="0" borderId="1" xfId="0" applyNumberFormat="1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/>
    </xf>
    <xf numFmtId="0" fontId="28" fillId="0" borderId="19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wrapText="1"/>
    </xf>
    <xf numFmtId="0" fontId="27" fillId="0" borderId="19" xfId="0" applyFont="1" applyBorder="1" applyAlignment="1">
      <alignment horizontal="center" vertical="center"/>
    </xf>
    <xf numFmtId="14" fontId="27" fillId="0" borderId="19" xfId="0" applyNumberFormat="1" applyFont="1" applyBorder="1" applyAlignment="1">
      <alignment horizontal="center" vertical="center"/>
    </xf>
    <xf numFmtId="44" fontId="27" fillId="0" borderId="19" xfId="1" applyFont="1" applyFill="1" applyBorder="1" applyAlignment="1">
      <alignment horizontal="center" vertical="center"/>
    </xf>
    <xf numFmtId="1" fontId="27" fillId="0" borderId="19" xfId="0" applyNumberFormat="1" applyFont="1" applyBorder="1" applyAlignment="1">
      <alignment horizontal="center" vertical="center"/>
    </xf>
    <xf numFmtId="9" fontId="27" fillId="0" borderId="19" xfId="0" applyNumberFormat="1" applyFont="1" applyBorder="1" applyAlignment="1">
      <alignment horizontal="center" vertical="center"/>
    </xf>
    <xf numFmtId="44" fontId="27" fillId="0" borderId="24" xfId="1" applyFont="1" applyFill="1" applyBorder="1" applyAlignment="1">
      <alignment horizontal="center" vertical="center"/>
    </xf>
    <xf numFmtId="44" fontId="27" fillId="0" borderId="21" xfId="1" applyFont="1" applyFill="1" applyBorder="1" applyAlignment="1">
      <alignment horizontal="center" vertical="center"/>
    </xf>
    <xf numFmtId="0" fontId="31" fillId="0" borderId="12" xfId="0" applyFont="1" applyBorder="1" applyAlignment="1">
      <alignment horizontal="center"/>
    </xf>
    <xf numFmtId="14" fontId="33" fillId="0" borderId="1" xfId="0" applyNumberFormat="1" applyFont="1" applyBorder="1" applyAlignment="1">
      <alignment horizontal="center" vertical="center"/>
    </xf>
    <xf numFmtId="1" fontId="32" fillId="0" borderId="30" xfId="0" applyNumberFormat="1" applyFont="1" applyBorder="1" applyAlignment="1">
      <alignment horizontal="center" vertical="center"/>
    </xf>
    <xf numFmtId="44" fontId="32" fillId="0" borderId="29" xfId="1" applyFont="1" applyFill="1" applyBorder="1" applyAlignment="1">
      <alignment horizontal="center" vertical="center"/>
    </xf>
    <xf numFmtId="14" fontId="32" fillId="0" borderId="12" xfId="0" applyNumberFormat="1" applyFont="1" applyBorder="1" applyAlignment="1">
      <alignment horizontal="center" vertical="center"/>
    </xf>
    <xf numFmtId="2" fontId="32" fillId="0" borderId="30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8" fontId="32" fillId="0" borderId="16" xfId="1" applyNumberFormat="1" applyFont="1" applyFill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1" fontId="32" fillId="0" borderId="17" xfId="0" applyNumberFormat="1" applyFont="1" applyBorder="1" applyAlignment="1">
      <alignment horizontal="center" vertical="center"/>
    </xf>
    <xf numFmtId="44" fontId="32" fillId="0" borderId="16" xfId="1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2" fontId="32" fillId="0" borderId="17" xfId="0" applyNumberFormat="1" applyFont="1" applyBorder="1" applyAlignment="1">
      <alignment horizontal="center" vertical="center"/>
    </xf>
    <xf numFmtId="49" fontId="32" fillId="0" borderId="17" xfId="0" applyNumberFormat="1" applyFont="1" applyBorder="1" applyAlignment="1">
      <alignment horizontal="center" vertical="center"/>
    </xf>
    <xf numFmtId="1" fontId="35" fillId="0" borderId="17" xfId="0" applyNumberFormat="1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34" fillId="0" borderId="24" xfId="0" applyFont="1" applyBorder="1" applyAlignment="1">
      <alignment horizontal="center" vertical="center" wrapText="1"/>
    </xf>
    <xf numFmtId="44" fontId="32" fillId="0" borderId="18" xfId="1" applyFont="1" applyFill="1" applyBorder="1" applyAlignment="1">
      <alignment horizontal="center" vertical="center"/>
    </xf>
    <xf numFmtId="14" fontId="32" fillId="0" borderId="19" xfId="0" applyNumberFormat="1" applyFont="1" applyBorder="1" applyAlignment="1">
      <alignment horizontal="center" vertical="center"/>
    </xf>
    <xf numFmtId="2" fontId="32" fillId="0" borderId="21" xfId="0" applyNumberFormat="1" applyFont="1" applyBorder="1" applyAlignment="1">
      <alignment horizontal="center" vertical="center"/>
    </xf>
    <xf numFmtId="1" fontId="32" fillId="0" borderId="21" xfId="0" applyNumberFormat="1" applyFont="1" applyBorder="1" applyAlignment="1">
      <alignment horizontal="center" vertical="center"/>
    </xf>
    <xf numFmtId="0" fontId="27" fillId="0" borderId="12" xfId="0" applyFont="1" applyBorder="1" applyAlignment="1">
      <alignment horizontal="center"/>
    </xf>
    <xf numFmtId="8" fontId="27" fillId="0" borderId="29" xfId="1" applyNumberFormat="1" applyFont="1" applyFill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44" fontId="27" fillId="0" borderId="29" xfId="1" applyFont="1" applyFill="1" applyBorder="1" applyAlignment="1">
      <alignment horizontal="center" vertical="center"/>
    </xf>
    <xf numFmtId="14" fontId="27" fillId="0" borderId="12" xfId="0" applyNumberFormat="1" applyFont="1" applyBorder="1" applyAlignment="1">
      <alignment horizontal="center" vertical="center"/>
    </xf>
    <xf numFmtId="2" fontId="27" fillId="0" borderId="30" xfId="0" applyNumberFormat="1" applyFont="1" applyBorder="1" applyAlignment="1">
      <alignment horizontal="center" vertical="center"/>
    </xf>
    <xf numFmtId="8" fontId="27" fillId="0" borderId="16" xfId="1" applyNumberFormat="1" applyFont="1" applyFill="1" applyBorder="1" applyAlignment="1">
      <alignment horizontal="center" vertical="center"/>
    </xf>
    <xf numFmtId="1" fontId="27" fillId="0" borderId="17" xfId="0" applyNumberFormat="1" applyFont="1" applyBorder="1" applyAlignment="1">
      <alignment horizontal="center" vertical="center"/>
    </xf>
    <xf numFmtId="44" fontId="27" fillId="0" borderId="16" xfId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2" fontId="27" fillId="0" borderId="17" xfId="0" applyNumberFormat="1" applyFont="1" applyBorder="1" applyAlignment="1">
      <alignment horizontal="center" vertical="center"/>
    </xf>
    <xf numFmtId="49" fontId="27" fillId="0" borderId="17" xfId="0" applyNumberFormat="1" applyFont="1" applyBorder="1" applyAlignment="1">
      <alignment horizontal="center" vertical="center"/>
    </xf>
    <xf numFmtId="1" fontId="30" fillId="0" borderId="17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 wrapText="1"/>
    </xf>
    <xf numFmtId="44" fontId="27" fillId="0" borderId="18" xfId="1" applyFont="1" applyFill="1" applyBorder="1" applyAlignment="1">
      <alignment horizontal="center" vertical="center"/>
    </xf>
    <xf numFmtId="2" fontId="27" fillId="0" borderId="21" xfId="0" applyNumberFormat="1" applyFont="1" applyBorder="1" applyAlignment="1">
      <alignment horizontal="center" vertical="center"/>
    </xf>
    <xf numFmtId="1" fontId="27" fillId="0" borderId="21" xfId="0" applyNumberFormat="1" applyFont="1" applyBorder="1" applyAlignment="1">
      <alignment horizontal="center" vertical="center"/>
    </xf>
    <xf numFmtId="0" fontId="38" fillId="11" borderId="13" xfId="0" applyFont="1" applyFill="1" applyBorder="1" applyAlignment="1">
      <alignment horizontal="center" vertical="center"/>
    </xf>
    <xf numFmtId="0" fontId="38" fillId="11" borderId="32" xfId="0" applyFont="1" applyFill="1" applyBorder="1" applyAlignment="1">
      <alignment horizontal="center" vertical="center"/>
    </xf>
    <xf numFmtId="0" fontId="39" fillId="0" borderId="0" xfId="0" applyFont="1"/>
    <xf numFmtId="14" fontId="27" fillId="0" borderId="19" xfId="0" applyNumberFormat="1" applyFont="1" applyBorder="1"/>
    <xf numFmtId="0" fontId="30" fillId="0" borderId="1" xfId="0" applyFont="1" applyBorder="1" applyAlignment="1">
      <alignment horizontal="center"/>
    </xf>
    <xf numFmtId="44" fontId="30" fillId="0" borderId="1" xfId="1" applyFont="1" applyFill="1" applyBorder="1" applyAlignment="1">
      <alignment horizontal="center"/>
    </xf>
    <xf numFmtId="14" fontId="27" fillId="0" borderId="1" xfId="0" applyNumberFormat="1" applyFont="1" applyBorder="1"/>
    <xf numFmtId="44" fontId="30" fillId="0" borderId="17" xfId="1" applyFont="1" applyFill="1" applyBorder="1" applyAlignment="1">
      <alignment horizontal="center"/>
    </xf>
    <xf numFmtId="14" fontId="27" fillId="0" borderId="1" xfId="0" applyNumberFormat="1" applyFont="1" applyBorder="1" applyAlignment="1">
      <alignment horizontal="center"/>
    </xf>
    <xf numFmtId="44" fontId="27" fillId="0" borderId="1" xfId="1" applyFont="1" applyFill="1" applyBorder="1" applyAlignment="1">
      <alignment horizontal="center"/>
    </xf>
    <xf numFmtId="1" fontId="27" fillId="0" borderId="1" xfId="0" applyNumberFormat="1" applyFont="1" applyBorder="1" applyAlignment="1">
      <alignment horizontal="center"/>
    </xf>
    <xf numFmtId="9" fontId="27" fillId="0" borderId="1" xfId="2" applyFont="1" applyFill="1" applyBorder="1" applyAlignment="1">
      <alignment horizontal="center"/>
    </xf>
    <xf numFmtId="1" fontId="30" fillId="0" borderId="1" xfId="0" applyNumberFormat="1" applyFont="1" applyBorder="1" applyAlignment="1">
      <alignment horizontal="center"/>
    </xf>
    <xf numFmtId="44" fontId="27" fillId="0" borderId="19" xfId="1" applyFont="1" applyFill="1" applyBorder="1" applyAlignment="1">
      <alignment horizontal="center"/>
    </xf>
    <xf numFmtId="1" fontId="27" fillId="0" borderId="19" xfId="0" applyNumberFormat="1" applyFont="1" applyBorder="1" applyAlignment="1">
      <alignment horizontal="center"/>
    </xf>
    <xf numFmtId="0" fontId="34" fillId="0" borderId="28" xfId="0" applyFont="1" applyBorder="1" applyAlignment="1">
      <alignment horizontal="center" vertical="center" wrapText="1"/>
    </xf>
    <xf numFmtId="0" fontId="36" fillId="0" borderId="1" xfId="0" applyFont="1" applyBorder="1"/>
    <xf numFmtId="0" fontId="28" fillId="0" borderId="28" xfId="0" applyFont="1" applyBorder="1" applyAlignment="1">
      <alignment horizontal="center" vertical="center" wrapText="1"/>
    </xf>
    <xf numFmtId="0" fontId="30" fillId="0" borderId="1" xfId="0" applyFont="1" applyBorder="1"/>
    <xf numFmtId="9" fontId="30" fillId="0" borderId="1" xfId="2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37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left" vertical="center" wrapText="1"/>
    </xf>
    <xf numFmtId="0" fontId="27" fillId="0" borderId="0" xfId="0" applyFont="1"/>
    <xf numFmtId="44" fontId="31" fillId="0" borderId="0" xfId="1" applyFont="1" applyFill="1" applyBorder="1" applyAlignment="1">
      <alignment horizontal="center"/>
    </xf>
    <xf numFmtId="0" fontId="30" fillId="0" borderId="0" xfId="0" applyFont="1"/>
    <xf numFmtId="0" fontId="31" fillId="0" borderId="1" xfId="0" applyFont="1" applyBorder="1"/>
    <xf numFmtId="44" fontId="32" fillId="0" borderId="29" xfId="1" applyFont="1" applyBorder="1" applyAlignment="1">
      <alignment horizontal="center" vertical="center"/>
    </xf>
    <xf numFmtId="8" fontId="32" fillId="0" borderId="16" xfId="1" applyNumberFormat="1" applyFont="1" applyBorder="1" applyAlignment="1">
      <alignment horizontal="center" vertical="center"/>
    </xf>
    <xf numFmtId="44" fontId="32" fillId="0" borderId="16" xfId="1" applyFont="1" applyBorder="1" applyAlignment="1">
      <alignment horizontal="center" vertical="center"/>
    </xf>
    <xf numFmtId="44" fontId="32" fillId="0" borderId="18" xfId="1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0" fillId="0" borderId="11" xfId="0" applyBorder="1"/>
    <xf numFmtId="0" fontId="34" fillId="0" borderId="17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44" fontId="27" fillId="0" borderId="2" xfId="1" applyFont="1" applyFill="1" applyBorder="1" applyAlignment="1">
      <alignment horizontal="center"/>
    </xf>
    <xf numFmtId="44" fontId="27" fillId="0" borderId="17" xfId="1" applyFont="1" applyFill="1" applyBorder="1" applyAlignment="1">
      <alignment horizontal="center"/>
    </xf>
    <xf numFmtId="0" fontId="27" fillId="0" borderId="1" xfId="0" applyFont="1" applyBorder="1"/>
    <xf numFmtId="44" fontId="27" fillId="0" borderId="1" xfId="1" applyFont="1" applyFill="1" applyBorder="1"/>
    <xf numFmtId="9" fontId="27" fillId="0" borderId="1" xfId="0" applyNumberFormat="1" applyFont="1" applyBorder="1" applyAlignment="1">
      <alignment horizontal="center"/>
    </xf>
    <xf numFmtId="44" fontId="27" fillId="0" borderId="2" xfId="1" applyFont="1" applyFill="1" applyBorder="1"/>
    <xf numFmtId="44" fontId="30" fillId="0" borderId="1" xfId="1" applyFont="1" applyFill="1" applyBorder="1"/>
    <xf numFmtId="14" fontId="30" fillId="0" borderId="1" xfId="0" applyNumberFormat="1" applyFont="1" applyBorder="1"/>
    <xf numFmtId="44" fontId="30" fillId="0" borderId="2" xfId="1" applyFont="1" applyFill="1" applyBorder="1"/>
    <xf numFmtId="14" fontId="27" fillId="0" borderId="1" xfId="0" applyNumberFormat="1" applyFont="1" applyBorder="1" applyAlignment="1">
      <alignment wrapText="1"/>
    </xf>
    <xf numFmtId="1" fontId="27" fillId="0" borderId="1" xfId="0" applyNumberFormat="1" applyFont="1" applyBorder="1" applyAlignment="1">
      <alignment horizontal="center" wrapText="1"/>
    </xf>
    <xf numFmtId="0" fontId="27" fillId="0" borderId="19" xfId="0" applyFont="1" applyBorder="1" applyAlignment="1">
      <alignment horizontal="center" wrapText="1"/>
    </xf>
    <xf numFmtId="44" fontId="27" fillId="0" borderId="19" xfId="1" applyFont="1" applyFill="1" applyBorder="1"/>
    <xf numFmtId="9" fontId="27" fillId="0" borderId="19" xfId="0" applyNumberFormat="1" applyFont="1" applyBorder="1" applyAlignment="1">
      <alignment horizontal="center"/>
    </xf>
    <xf numFmtId="44" fontId="27" fillId="0" borderId="24" xfId="1" applyFont="1" applyFill="1" applyBorder="1"/>
    <xf numFmtId="44" fontId="27" fillId="0" borderId="21" xfId="1" applyFont="1" applyFill="1" applyBorder="1" applyAlignment="1">
      <alignment horizontal="center"/>
    </xf>
    <xf numFmtId="0" fontId="36" fillId="0" borderId="3" xfId="0" applyFont="1" applyBorder="1"/>
    <xf numFmtId="0" fontId="30" fillId="0" borderId="3" xfId="0" applyFont="1" applyBorder="1"/>
    <xf numFmtId="0" fontId="0" fillId="0" borderId="42" xfId="0" applyBorder="1"/>
    <xf numFmtId="0" fontId="43" fillId="19" borderId="51" xfId="0" applyFont="1" applyFill="1" applyBorder="1" applyAlignment="1">
      <alignment horizontal="center"/>
    </xf>
    <xf numFmtId="0" fontId="43" fillId="19" borderId="51" xfId="0" applyFont="1" applyFill="1" applyBorder="1"/>
    <xf numFmtId="0" fontId="0" fillId="0" borderId="0" xfId="0" applyAlignment="1">
      <alignment horizontal="center" wrapText="1"/>
    </xf>
    <xf numFmtId="1" fontId="27" fillId="0" borderId="12" xfId="1" applyNumberFormat="1" applyFont="1" applyFill="1" applyBorder="1" applyAlignment="1">
      <alignment horizontal="center" vertical="center"/>
    </xf>
    <xf numFmtId="2" fontId="27" fillId="0" borderId="19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wrapText="1"/>
    </xf>
    <xf numFmtId="1" fontId="27" fillId="0" borderId="1" xfId="1" quotePrefix="1" applyNumberFormat="1" applyFont="1" applyFill="1" applyBorder="1" applyAlignment="1">
      <alignment horizontal="center" vertical="center"/>
    </xf>
    <xf numFmtId="1" fontId="27" fillId="0" borderId="1" xfId="0" quotePrefix="1" applyNumberFormat="1" applyFont="1" applyBorder="1" applyAlignment="1">
      <alignment horizontal="center" vertical="center"/>
    </xf>
    <xf numFmtId="44" fontId="27" fillId="0" borderId="12" xfId="1" applyFont="1" applyFill="1" applyBorder="1" applyAlignment="1">
      <alignment horizontal="center" vertical="center"/>
    </xf>
    <xf numFmtId="14" fontId="27" fillId="0" borderId="12" xfId="1" applyNumberFormat="1" applyFont="1" applyFill="1" applyBorder="1" applyAlignment="1">
      <alignment horizontal="center" vertical="center"/>
    </xf>
    <xf numFmtId="14" fontId="27" fillId="0" borderId="1" xfId="1" applyNumberFormat="1" applyFont="1" applyFill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44" fontId="27" fillId="0" borderId="0" xfId="0" applyNumberFormat="1" applyFont="1"/>
    <xf numFmtId="0" fontId="49" fillId="0" borderId="24" xfId="0" applyFont="1" applyBorder="1" applyAlignment="1">
      <alignment horizontal="center" vertical="center" wrapText="1"/>
    </xf>
    <xf numFmtId="1" fontId="27" fillId="0" borderId="12" xfId="1" quotePrefix="1" applyNumberFormat="1" applyFont="1" applyFill="1" applyBorder="1" applyAlignment="1">
      <alignment horizontal="center" vertical="center"/>
    </xf>
    <xf numFmtId="2" fontId="25" fillId="0" borderId="1" xfId="0" applyNumberFormat="1" applyFont="1" applyBorder="1" applyAlignment="1">
      <alignment horizontal="center" vertical="center"/>
    </xf>
    <xf numFmtId="0" fontId="17" fillId="0" borderId="3" xfId="0" applyFont="1" applyBorder="1"/>
    <xf numFmtId="0" fontId="29" fillId="0" borderId="1" xfId="0" applyFont="1" applyBorder="1" applyAlignment="1">
      <alignment wrapText="1"/>
    </xf>
    <xf numFmtId="164" fontId="27" fillId="0" borderId="1" xfId="0" applyNumberFormat="1" applyFont="1" applyBorder="1" applyAlignment="1">
      <alignment horizontal="center" vertical="center"/>
    </xf>
    <xf numFmtId="1" fontId="27" fillId="0" borderId="17" xfId="0" quotePrefix="1" applyNumberFormat="1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44" fontId="27" fillId="0" borderId="0" xfId="1" applyFont="1" applyFill="1"/>
    <xf numFmtId="9" fontId="30" fillId="0" borderId="1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44" fontId="27" fillId="0" borderId="0" xfId="1" applyFont="1" applyFill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8" fontId="32" fillId="0" borderId="29" xfId="1" applyNumberFormat="1" applyFont="1" applyFill="1" applyBorder="1" applyAlignment="1">
      <alignment horizontal="center" vertical="center"/>
    </xf>
    <xf numFmtId="8" fontId="30" fillId="0" borderId="16" xfId="1" applyNumberFormat="1" applyFont="1" applyFill="1" applyBorder="1" applyAlignment="1">
      <alignment horizontal="center" vertical="center"/>
    </xf>
    <xf numFmtId="0" fontId="41" fillId="0" borderId="1" xfId="0" applyFont="1" applyBorder="1"/>
    <xf numFmtId="44" fontId="41" fillId="0" borderId="1" xfId="1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 wrapText="1"/>
    </xf>
    <xf numFmtId="44" fontId="50" fillId="0" borderId="1" xfId="1" applyFont="1" applyFill="1" applyBorder="1" applyAlignment="1">
      <alignment horizontal="center" wrapText="1"/>
    </xf>
    <xf numFmtId="14" fontId="50" fillId="0" borderId="1" xfId="0" applyNumberFormat="1" applyFont="1" applyBorder="1" applyAlignment="1">
      <alignment horizontal="center" wrapText="1"/>
    </xf>
    <xf numFmtId="14" fontId="29" fillId="0" borderId="1" xfId="0" applyNumberFormat="1" applyFont="1" applyBorder="1" applyAlignment="1">
      <alignment horizontal="center" wrapText="1"/>
    </xf>
    <xf numFmtId="44" fontId="41" fillId="0" borderId="1" xfId="1" applyFont="1" applyFill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14" fontId="41" fillId="0" borderId="1" xfId="1" applyNumberFormat="1" applyFont="1" applyFill="1" applyBorder="1" applyAlignment="1">
      <alignment vertical="center"/>
    </xf>
    <xf numFmtId="44" fontId="41" fillId="0" borderId="1" xfId="1" applyFont="1" applyFill="1" applyBorder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14" fontId="0" fillId="0" borderId="0" xfId="0" applyNumberFormat="1"/>
    <xf numFmtId="14" fontId="3" fillId="10" borderId="36" xfId="0" applyNumberFormat="1" applyFont="1" applyFill="1" applyBorder="1" applyAlignment="1">
      <alignment horizontal="center"/>
    </xf>
    <xf numFmtId="14" fontId="41" fillId="0" borderId="1" xfId="0" applyNumberFormat="1" applyFont="1" applyBorder="1" applyAlignment="1">
      <alignment vertical="center"/>
    </xf>
    <xf numFmtId="14" fontId="28" fillId="0" borderId="1" xfId="0" applyNumberFormat="1" applyFont="1" applyBorder="1" applyAlignment="1">
      <alignment vertical="center"/>
    </xf>
    <xf numFmtId="14" fontId="41" fillId="0" borderId="0" xfId="0" applyNumberFormat="1" applyFont="1" applyAlignment="1">
      <alignment horizontal="center" vertical="center"/>
    </xf>
    <xf numFmtId="14" fontId="23" fillId="15" borderId="10" xfId="0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31" fillId="0" borderId="62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3" xfId="0" applyFont="1" applyBorder="1" applyAlignment="1">
      <alignment horizontal="center" vertical="center"/>
    </xf>
    <xf numFmtId="0" fontId="34" fillId="0" borderId="4" xfId="0" applyFont="1" applyBorder="1"/>
    <xf numFmtId="0" fontId="31" fillId="0" borderId="26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31" fillId="0" borderId="63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7" fillId="0" borderId="62" xfId="0" applyFont="1" applyBorder="1" applyAlignment="1">
      <alignment horizontal="center"/>
    </xf>
    <xf numFmtId="0" fontId="27" fillId="0" borderId="3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34" fillId="0" borderId="3" xfId="0" applyFont="1" applyBorder="1"/>
    <xf numFmtId="0" fontId="28" fillId="0" borderId="3" xfId="0" applyFont="1" applyBorder="1" applyAlignment="1">
      <alignment horizontal="center" vertical="center" wrapText="1"/>
    </xf>
    <xf numFmtId="44" fontId="29" fillId="0" borderId="1" xfId="1" applyFont="1" applyBorder="1" applyAlignment="1">
      <alignment horizontal="center" wrapText="1"/>
    </xf>
    <xf numFmtId="8" fontId="32" fillId="22" borderId="16" xfId="1" applyNumberFormat="1" applyFont="1" applyFill="1" applyBorder="1" applyAlignment="1">
      <alignment horizontal="center" vertical="center"/>
    </xf>
    <xf numFmtId="14" fontId="32" fillId="22" borderId="1" xfId="0" applyNumberFormat="1" applyFont="1" applyFill="1" applyBorder="1" applyAlignment="1">
      <alignment horizontal="center" vertical="center"/>
    </xf>
    <xf numFmtId="1" fontId="32" fillId="22" borderId="17" xfId="0" applyNumberFormat="1" applyFont="1" applyFill="1" applyBorder="1" applyAlignment="1">
      <alignment horizontal="center" vertical="center"/>
    </xf>
    <xf numFmtId="44" fontId="27" fillId="0" borderId="1" xfId="1" applyFont="1" applyBorder="1" applyAlignment="1">
      <alignment horizontal="center" vertical="center"/>
    </xf>
    <xf numFmtId="44" fontId="30" fillId="0" borderId="1" xfId="1" applyFont="1" applyBorder="1" applyAlignment="1">
      <alignment horizontal="center" vertical="center"/>
    </xf>
    <xf numFmtId="8" fontId="14" fillId="22" borderId="16" xfId="1" applyNumberFormat="1" applyFont="1" applyFill="1" applyBorder="1" applyAlignment="1">
      <alignment horizontal="center" vertical="center"/>
    </xf>
    <xf numFmtId="14" fontId="14" fillId="22" borderId="1" xfId="0" applyNumberFormat="1" applyFont="1" applyFill="1" applyBorder="1" applyAlignment="1">
      <alignment horizontal="center" vertical="center"/>
    </xf>
    <xf numFmtId="1" fontId="14" fillId="22" borderId="17" xfId="0" applyNumberFormat="1" applyFont="1" applyFill="1" applyBorder="1" applyAlignment="1">
      <alignment horizontal="center" vertical="center"/>
    </xf>
    <xf numFmtId="0" fontId="3" fillId="10" borderId="5" xfId="1" applyNumberFormat="1" applyFont="1" applyFill="1" applyBorder="1" applyAlignment="1">
      <alignment horizontal="center"/>
    </xf>
    <xf numFmtId="0" fontId="15" fillId="0" borderId="65" xfId="0" applyFont="1" applyBorder="1" applyAlignment="1">
      <alignment horizontal="center"/>
    </xf>
    <xf numFmtId="0" fontId="15" fillId="0" borderId="66" xfId="0" applyFont="1" applyBorder="1" applyAlignment="1">
      <alignment horizontal="center"/>
    </xf>
    <xf numFmtId="0" fontId="27" fillId="0" borderId="66" xfId="0" applyFont="1" applyBorder="1" applyAlignment="1">
      <alignment horizontal="center"/>
    </xf>
    <xf numFmtId="0" fontId="28" fillId="0" borderId="66" xfId="0" applyFont="1" applyBorder="1" applyAlignment="1">
      <alignment horizontal="center" vertical="center" wrapText="1"/>
    </xf>
    <xf numFmtId="1" fontId="27" fillId="0" borderId="66" xfId="0" applyNumberFormat="1" applyFont="1" applyBorder="1" applyAlignment="1">
      <alignment horizontal="center" vertical="center"/>
    </xf>
    <xf numFmtId="44" fontId="27" fillId="0" borderId="66" xfId="1" applyFont="1" applyFill="1" applyBorder="1" applyAlignment="1">
      <alignment horizontal="center" vertical="center"/>
    </xf>
    <xf numFmtId="14" fontId="27" fillId="0" borderId="66" xfId="0" applyNumberFormat="1" applyFont="1" applyBorder="1" applyAlignment="1">
      <alignment horizontal="center" vertical="center"/>
    </xf>
    <xf numFmtId="8" fontId="27" fillId="22" borderId="16" xfId="1" applyNumberFormat="1" applyFont="1" applyFill="1" applyBorder="1" applyAlignment="1">
      <alignment horizontal="center" vertical="center"/>
    </xf>
    <xf numFmtId="14" fontId="27" fillId="22" borderId="1" xfId="0" applyNumberFormat="1" applyFont="1" applyFill="1" applyBorder="1" applyAlignment="1">
      <alignment horizontal="center" vertical="center"/>
    </xf>
    <xf numFmtId="1" fontId="27" fillId="22" borderId="17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27" fillId="0" borderId="69" xfId="0" applyFont="1" applyBorder="1" applyAlignment="1">
      <alignment horizontal="center"/>
    </xf>
    <xf numFmtId="0" fontId="27" fillId="0" borderId="66" xfId="0" applyFont="1" applyBorder="1" applyAlignment="1">
      <alignment horizontal="center" vertical="center"/>
    </xf>
    <xf numFmtId="9" fontId="27" fillId="0" borderId="66" xfId="2" applyFont="1" applyFill="1" applyBorder="1" applyAlignment="1">
      <alignment horizontal="center" vertical="center"/>
    </xf>
    <xf numFmtId="44" fontId="27" fillId="0" borderId="68" xfId="1" applyFont="1" applyFill="1" applyBorder="1" applyAlignment="1">
      <alignment horizontal="center" vertical="center"/>
    </xf>
    <xf numFmtId="44" fontId="27" fillId="0" borderId="67" xfId="1" applyFont="1" applyFill="1" applyBorder="1" applyAlignment="1">
      <alignment horizontal="center" vertical="center"/>
    </xf>
    <xf numFmtId="0" fontId="31" fillId="0" borderId="69" xfId="0" applyFont="1" applyBorder="1" applyAlignment="1">
      <alignment horizontal="center"/>
    </xf>
    <xf numFmtId="0" fontId="31" fillId="0" borderId="66" xfId="0" applyFont="1" applyBorder="1" applyAlignment="1">
      <alignment horizontal="center"/>
    </xf>
    <xf numFmtId="44" fontId="32" fillId="0" borderId="65" xfId="1" applyFont="1" applyFill="1" applyBorder="1" applyAlignment="1">
      <alignment horizontal="center" vertical="center"/>
    </xf>
    <xf numFmtId="14" fontId="32" fillId="0" borderId="66" xfId="0" applyNumberFormat="1" applyFont="1" applyBorder="1" applyAlignment="1">
      <alignment horizontal="center" vertical="center"/>
    </xf>
    <xf numFmtId="2" fontId="32" fillId="0" borderId="67" xfId="0" applyNumberFormat="1" applyFont="1" applyBorder="1" applyAlignment="1">
      <alignment horizontal="center" vertical="center"/>
    </xf>
    <xf numFmtId="1" fontId="32" fillId="0" borderId="67" xfId="0" applyNumberFormat="1" applyFont="1" applyBorder="1" applyAlignment="1">
      <alignment horizontal="center" vertical="center"/>
    </xf>
    <xf numFmtId="16" fontId="27" fillId="0" borderId="1" xfId="0" applyNumberFormat="1" applyFont="1" applyBorder="1" applyAlignment="1">
      <alignment horizontal="center" vertical="center"/>
    </xf>
    <xf numFmtId="44" fontId="32" fillId="22" borderId="16" xfId="1" applyFont="1" applyFill="1" applyBorder="1" applyAlignment="1">
      <alignment horizontal="center" vertical="center"/>
    </xf>
    <xf numFmtId="2" fontId="32" fillId="22" borderId="17" xfId="0" applyNumberFormat="1" applyFont="1" applyFill="1" applyBorder="1" applyAlignment="1">
      <alignment horizontal="center" vertical="center"/>
    </xf>
    <xf numFmtId="49" fontId="32" fillId="22" borderId="17" xfId="0" applyNumberFormat="1" applyFont="1" applyFill="1" applyBorder="1" applyAlignment="1">
      <alignment horizontal="center" vertical="center"/>
    </xf>
    <xf numFmtId="44" fontId="14" fillId="22" borderId="16" xfId="1" applyFont="1" applyFill="1" applyBorder="1" applyAlignment="1">
      <alignment horizontal="center" vertical="center"/>
    </xf>
    <xf numFmtId="0" fontId="14" fillId="22" borderId="17" xfId="0" applyFont="1" applyFill="1" applyBorder="1" applyAlignment="1">
      <alignment horizontal="center" vertical="center"/>
    </xf>
    <xf numFmtId="0" fontId="26" fillId="0" borderId="66" xfId="0" applyFont="1" applyBorder="1" applyAlignment="1">
      <alignment horizontal="center" wrapText="1"/>
    </xf>
    <xf numFmtId="1" fontId="27" fillId="0" borderId="64" xfId="1" applyNumberFormat="1" applyFont="1" applyFill="1" applyBorder="1" applyAlignment="1">
      <alignment horizontal="center" vertical="center"/>
    </xf>
    <xf numFmtId="14" fontId="27" fillId="0" borderId="64" xfId="1" applyNumberFormat="1" applyFont="1" applyFill="1" applyBorder="1" applyAlignment="1">
      <alignment horizontal="center" vertical="center"/>
    </xf>
    <xf numFmtId="0" fontId="15" fillId="0" borderId="69" xfId="0" applyFont="1" applyBorder="1" applyAlignment="1">
      <alignment horizontal="center"/>
    </xf>
    <xf numFmtId="44" fontId="32" fillId="22" borderId="65" xfId="1" applyFont="1" applyFill="1" applyBorder="1" applyAlignment="1">
      <alignment horizontal="center" vertical="center"/>
    </xf>
    <xf numFmtId="14" fontId="32" fillId="22" borderId="66" xfId="0" applyNumberFormat="1" applyFont="1" applyFill="1" applyBorder="1" applyAlignment="1">
      <alignment horizontal="center" vertical="center"/>
    </xf>
    <xf numFmtId="2" fontId="32" fillId="22" borderId="67" xfId="0" applyNumberFormat="1" applyFont="1" applyFill="1" applyBorder="1" applyAlignment="1">
      <alignment horizontal="center" vertical="center"/>
    </xf>
    <xf numFmtId="44" fontId="27" fillId="22" borderId="16" xfId="1" applyFont="1" applyFill="1" applyBorder="1" applyAlignment="1">
      <alignment horizontal="center" vertical="center"/>
    </xf>
    <xf numFmtId="49" fontId="27" fillId="22" borderId="17" xfId="0" applyNumberFormat="1" applyFont="1" applyFill="1" applyBorder="1" applyAlignment="1">
      <alignment horizontal="center" vertical="center"/>
    </xf>
    <xf numFmtId="8" fontId="14" fillId="22" borderId="29" xfId="1" applyNumberFormat="1" applyFont="1" applyFill="1" applyBorder="1" applyAlignment="1">
      <alignment horizontal="center" vertical="center"/>
    </xf>
    <xf numFmtId="14" fontId="22" fillId="22" borderId="1" xfId="0" applyNumberFormat="1" applyFont="1" applyFill="1" applyBorder="1" applyAlignment="1">
      <alignment horizontal="center" vertical="center"/>
    </xf>
    <xf numFmtId="1" fontId="14" fillId="22" borderId="30" xfId="0" applyNumberFormat="1" applyFont="1" applyFill="1" applyBorder="1" applyAlignment="1">
      <alignment horizontal="center" vertical="center"/>
    </xf>
    <xf numFmtId="8" fontId="32" fillId="22" borderId="29" xfId="1" applyNumberFormat="1" applyFont="1" applyFill="1" applyBorder="1" applyAlignment="1">
      <alignment horizontal="center" vertical="center"/>
    </xf>
    <xf numFmtId="14" fontId="33" fillId="22" borderId="1" xfId="0" applyNumberFormat="1" applyFont="1" applyFill="1" applyBorder="1" applyAlignment="1">
      <alignment horizontal="center" vertical="center"/>
    </xf>
    <xf numFmtId="1" fontId="32" fillId="22" borderId="30" xfId="0" applyNumberFormat="1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 wrapText="1"/>
    </xf>
    <xf numFmtId="0" fontId="28" fillId="24" borderId="66" xfId="0" applyFont="1" applyFill="1" applyBorder="1" applyAlignment="1">
      <alignment horizontal="center" vertical="center" wrapText="1"/>
    </xf>
    <xf numFmtId="0" fontId="24" fillId="24" borderId="1" xfId="0" applyFont="1" applyFill="1" applyBorder="1" applyAlignment="1">
      <alignment horizontal="center" vertical="center"/>
    </xf>
    <xf numFmtId="2" fontId="14" fillId="22" borderId="17" xfId="0" applyNumberFormat="1" applyFont="1" applyFill="1" applyBorder="1" applyAlignment="1">
      <alignment horizontal="center" vertical="center"/>
    </xf>
    <xf numFmtId="14" fontId="37" fillId="22" borderId="1" xfId="0" applyNumberFormat="1" applyFont="1" applyFill="1" applyBorder="1" applyAlignment="1">
      <alignment horizontal="center" vertical="center"/>
    </xf>
    <xf numFmtId="1" fontId="27" fillId="22" borderId="30" xfId="0" applyNumberFormat="1" applyFont="1" applyFill="1" applyBorder="1" applyAlignment="1">
      <alignment horizontal="center" vertical="center"/>
    </xf>
    <xf numFmtId="2" fontId="27" fillId="22" borderId="17" xfId="0" applyNumberFormat="1" applyFont="1" applyFill="1" applyBorder="1" applyAlignment="1">
      <alignment horizontal="center" vertical="center"/>
    </xf>
    <xf numFmtId="8" fontId="27" fillId="25" borderId="29" xfId="1" applyNumberFormat="1" applyFont="1" applyFill="1" applyBorder="1" applyAlignment="1">
      <alignment horizontal="center" vertical="center"/>
    </xf>
    <xf numFmtId="14" fontId="37" fillId="25" borderId="1" xfId="0" applyNumberFormat="1" applyFont="1" applyFill="1" applyBorder="1" applyAlignment="1">
      <alignment horizontal="center" vertical="center"/>
    </xf>
    <xf numFmtId="1" fontId="27" fillId="25" borderId="30" xfId="0" applyNumberFormat="1" applyFont="1" applyFill="1" applyBorder="1" applyAlignment="1">
      <alignment horizontal="center" vertical="center"/>
    </xf>
    <xf numFmtId="44" fontId="14" fillId="25" borderId="16" xfId="1" applyFont="1" applyFill="1" applyBorder="1" applyAlignment="1">
      <alignment horizontal="center" vertical="center"/>
    </xf>
    <xf numFmtId="14" fontId="14" fillId="25" borderId="1" xfId="0" applyNumberFormat="1" applyFont="1" applyFill="1" applyBorder="1" applyAlignment="1">
      <alignment horizontal="center" vertical="center"/>
    </xf>
    <xf numFmtId="49" fontId="14" fillId="22" borderId="17" xfId="0" applyNumberFormat="1" applyFont="1" applyFill="1" applyBorder="1" applyAlignment="1">
      <alignment horizontal="center" vertical="center"/>
    </xf>
    <xf numFmtId="1" fontId="32" fillId="22" borderId="67" xfId="0" applyNumberFormat="1" applyFont="1" applyFill="1" applyBorder="1" applyAlignment="1">
      <alignment horizontal="center" vertical="center"/>
    </xf>
    <xf numFmtId="44" fontId="32" fillId="22" borderId="29" xfId="1" applyFont="1" applyFill="1" applyBorder="1" applyAlignment="1">
      <alignment horizontal="center" vertical="center"/>
    </xf>
    <xf numFmtId="1" fontId="27" fillId="22" borderId="17" xfId="0" quotePrefix="1" applyNumberFormat="1" applyFont="1" applyFill="1" applyBorder="1" applyAlignment="1">
      <alignment horizontal="center" vertical="center"/>
    </xf>
    <xf numFmtId="44" fontId="14" fillId="22" borderId="29" xfId="1" applyFont="1" applyFill="1" applyBorder="1" applyAlignment="1">
      <alignment horizontal="center" vertical="center"/>
    </xf>
    <xf numFmtId="44" fontId="27" fillId="22" borderId="29" xfId="1" applyFont="1" applyFill="1" applyBorder="1" applyAlignment="1">
      <alignment horizontal="center" vertical="center"/>
    </xf>
    <xf numFmtId="0" fontId="27" fillId="22" borderId="17" xfId="0" applyFont="1" applyFill="1" applyBorder="1" applyAlignment="1">
      <alignment horizontal="center" vertical="center"/>
    </xf>
    <xf numFmtId="1" fontId="35" fillId="22" borderId="17" xfId="0" applyNumberFormat="1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41" fontId="0" fillId="0" borderId="0" xfId="0" applyNumberFormat="1"/>
    <xf numFmtId="41" fontId="27" fillId="0" borderId="0" xfId="0" applyNumberFormat="1" applyFont="1"/>
    <xf numFmtId="41" fontId="30" fillId="0" borderId="0" xfId="0" applyNumberFormat="1" applyFont="1"/>
    <xf numFmtId="41" fontId="23" fillId="15" borderId="11" xfId="0" applyNumberFormat="1" applyFont="1" applyFill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8" fontId="35" fillId="22" borderId="16" xfId="1" applyNumberFormat="1" applyFont="1" applyFill="1" applyBorder="1" applyAlignment="1">
      <alignment horizontal="center" vertical="center"/>
    </xf>
    <xf numFmtId="14" fontId="35" fillId="22" borderId="1" xfId="0" applyNumberFormat="1" applyFont="1" applyFill="1" applyBorder="1" applyAlignment="1">
      <alignment horizontal="center" vertical="center"/>
    </xf>
    <xf numFmtId="44" fontId="35" fillId="0" borderId="16" xfId="1" applyFont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44" fontId="35" fillId="22" borderId="16" xfId="1" applyFont="1" applyFill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52" fillId="23" borderId="28" xfId="0" applyFont="1" applyFill="1" applyBorder="1" applyAlignment="1">
      <alignment horizontal="center" vertical="center" wrapText="1"/>
    </xf>
    <xf numFmtId="0" fontId="55" fillId="0" borderId="1" xfId="0" applyFont="1" applyBorder="1" applyAlignment="1">
      <alignment horizontal="center"/>
    </xf>
    <xf numFmtId="14" fontId="57" fillId="0" borderId="1" xfId="0" applyNumberFormat="1" applyFont="1" applyBorder="1" applyAlignment="1">
      <alignment horizontal="center" vertical="center"/>
    </xf>
    <xf numFmtId="44" fontId="58" fillId="0" borderId="16" xfId="1" applyFont="1" applyFill="1" applyBorder="1" applyAlignment="1">
      <alignment horizontal="center" vertical="center"/>
    </xf>
    <xf numFmtId="14" fontId="58" fillId="0" borderId="1" xfId="0" applyNumberFormat="1" applyFont="1" applyBorder="1" applyAlignment="1">
      <alignment horizontal="center" vertical="center"/>
    </xf>
    <xf numFmtId="2" fontId="58" fillId="0" borderId="17" xfId="0" applyNumberFormat="1" applyFont="1" applyBorder="1" applyAlignment="1">
      <alignment horizontal="center" vertical="center"/>
    </xf>
    <xf numFmtId="44" fontId="41" fillId="0" borderId="16" xfId="1" applyFont="1" applyFill="1" applyBorder="1" applyAlignment="1">
      <alignment horizontal="center" vertical="center"/>
    </xf>
    <xf numFmtId="44" fontId="20" fillId="0" borderId="16" xfId="1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44" fontId="27" fillId="23" borderId="17" xfId="1" applyFont="1" applyFill="1" applyBorder="1" applyAlignment="1">
      <alignment horizontal="center" vertical="center"/>
    </xf>
    <xf numFmtId="44" fontId="32" fillId="25" borderId="16" xfId="1" applyFont="1" applyFill="1" applyBorder="1" applyAlignment="1">
      <alignment horizontal="center" vertical="center"/>
    </xf>
    <xf numFmtId="14" fontId="32" fillId="25" borderId="1" xfId="0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/>
    </xf>
    <xf numFmtId="44" fontId="41" fillId="22" borderId="16" xfId="1" applyFont="1" applyFill="1" applyBorder="1" applyAlignment="1">
      <alignment horizontal="center" vertical="center"/>
    </xf>
    <xf numFmtId="14" fontId="41" fillId="22" borderId="1" xfId="0" applyNumberFormat="1" applyFont="1" applyFill="1" applyBorder="1" applyAlignment="1">
      <alignment horizontal="center" vertical="center"/>
    </xf>
    <xf numFmtId="2" fontId="41" fillId="22" borderId="17" xfId="0" applyNumberFormat="1" applyFont="1" applyFill="1" applyBorder="1" applyAlignment="1">
      <alignment horizontal="center" vertical="center"/>
    </xf>
    <xf numFmtId="14" fontId="41" fillId="0" borderId="1" xfId="0" applyNumberFormat="1" applyFont="1" applyBorder="1" applyAlignment="1">
      <alignment horizontal="center" vertical="center"/>
    </xf>
    <xf numFmtId="0" fontId="41" fillId="0" borderId="0" xfId="0" applyFont="1"/>
    <xf numFmtId="1" fontId="14" fillId="25" borderId="17" xfId="0" applyNumberFormat="1" applyFont="1" applyFill="1" applyBorder="1" applyAlignment="1">
      <alignment horizontal="center" vertical="center"/>
    </xf>
    <xf numFmtId="2" fontId="14" fillId="25" borderId="17" xfId="0" applyNumberFormat="1" applyFont="1" applyFill="1" applyBorder="1" applyAlignment="1">
      <alignment horizontal="center" vertical="center"/>
    </xf>
    <xf numFmtId="1" fontId="32" fillId="0" borderId="17" xfId="0" applyNumberFormat="1" applyFont="1" applyBorder="1" applyAlignment="1">
      <alignment horizontal="left" vertical="center"/>
    </xf>
    <xf numFmtId="41" fontId="0" fillId="0" borderId="1" xfId="0" applyNumberFormat="1" applyBorder="1" applyAlignment="1">
      <alignment horizontal="center"/>
    </xf>
    <xf numFmtId="41" fontId="55" fillId="0" borderId="1" xfId="0" applyNumberFormat="1" applyFont="1" applyBorder="1" applyAlignment="1">
      <alignment horizontal="center"/>
    </xf>
    <xf numFmtId="1" fontId="32" fillId="25" borderId="17" xfId="0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/>
    </xf>
    <xf numFmtId="44" fontId="27" fillId="23" borderId="1" xfId="1" applyFont="1" applyFill="1" applyBorder="1" applyAlignment="1">
      <alignment horizontal="center" vertical="center"/>
    </xf>
    <xf numFmtId="44" fontId="14" fillId="0" borderId="1" xfId="1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59" fillId="0" borderId="17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1" fontId="20" fillId="0" borderId="17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36" fillId="0" borderId="69" xfId="0" applyFont="1" applyBorder="1" applyAlignment="1">
      <alignment horizontal="center"/>
    </xf>
    <xf numFmtId="0" fontId="36" fillId="0" borderId="66" xfId="0" applyFont="1" applyBorder="1" applyAlignment="1">
      <alignment horizontal="center"/>
    </xf>
    <xf numFmtId="1" fontId="32" fillId="0" borderId="30" xfId="0" applyNumberFormat="1" applyFont="1" applyBorder="1" applyAlignment="1">
      <alignment horizontal="right" vertical="center" indent="2"/>
    </xf>
    <xf numFmtId="0" fontId="27" fillId="0" borderId="66" xfId="0" applyFont="1" applyBorder="1"/>
    <xf numFmtId="0" fontId="28" fillId="0" borderId="70" xfId="0" applyFont="1" applyBorder="1" applyAlignment="1">
      <alignment horizontal="center" vertical="center" wrapText="1"/>
    </xf>
    <xf numFmtId="44" fontId="27" fillId="0" borderId="65" xfId="1" applyFont="1" applyFill="1" applyBorder="1" applyAlignment="1">
      <alignment horizontal="center" vertical="center"/>
    </xf>
    <xf numFmtId="2" fontId="27" fillId="0" borderId="67" xfId="0" applyNumberFormat="1" applyFont="1" applyBorder="1" applyAlignment="1">
      <alignment horizontal="center" vertical="center"/>
    </xf>
    <xf numFmtId="14" fontId="27" fillId="0" borderId="65" xfId="1" applyNumberFormat="1" applyFont="1" applyFill="1" applyBorder="1" applyAlignment="1">
      <alignment horizontal="center" vertical="center"/>
    </xf>
    <xf numFmtId="1" fontId="27" fillId="0" borderId="67" xfId="0" applyNumberFormat="1" applyFont="1" applyBorder="1" applyAlignment="1">
      <alignment horizontal="center" vertical="center"/>
    </xf>
    <xf numFmtId="41" fontId="27" fillId="0" borderId="67" xfId="0" applyNumberFormat="1" applyFont="1" applyBorder="1" applyAlignment="1">
      <alignment horizontal="center" vertical="center"/>
    </xf>
    <xf numFmtId="164" fontId="27" fillId="0" borderId="1" xfId="1" applyNumberFormat="1" applyFont="1" applyFill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1" fontId="27" fillId="0" borderId="1" xfId="0" applyNumberFormat="1" applyFont="1" applyBorder="1" applyAlignment="1">
      <alignment horizontal="center" vertical="center"/>
    </xf>
    <xf numFmtId="0" fontId="56" fillId="0" borderId="12" xfId="0" applyFont="1" applyBorder="1" applyAlignment="1">
      <alignment horizontal="center"/>
    </xf>
    <xf numFmtId="0" fontId="2" fillId="0" borderId="0" xfId="0" applyFont="1"/>
    <xf numFmtId="0" fontId="63" fillId="0" borderId="0" xfId="0" applyFont="1" applyAlignment="1">
      <alignment horizontal="center" vertical="center"/>
    </xf>
    <xf numFmtId="44" fontId="2" fillId="7" borderId="7" xfId="1" applyFont="1" applyFill="1" applyBorder="1"/>
    <xf numFmtId="0" fontId="64" fillId="0" borderId="0" xfId="0" applyFont="1" applyAlignment="1">
      <alignment horizontal="center" vertical="center" wrapText="1"/>
    </xf>
    <xf numFmtId="44" fontId="2" fillId="5" borderId="7" xfId="1" applyFont="1" applyFill="1" applyBorder="1"/>
    <xf numFmtId="0" fontId="64" fillId="0" borderId="0" xfId="0" applyFont="1" applyAlignment="1">
      <alignment horizontal="center" vertical="center"/>
    </xf>
    <xf numFmtId="44" fontId="2" fillId="6" borderId="7" xfId="1" applyFont="1" applyFill="1" applyBorder="1"/>
    <xf numFmtId="0" fontId="2" fillId="9" borderId="9" xfId="0" applyFont="1" applyFill="1" applyBorder="1"/>
    <xf numFmtId="44" fontId="2" fillId="14" borderId="7" xfId="1" applyFont="1" applyFill="1" applyBorder="1"/>
    <xf numFmtId="0" fontId="3" fillId="3" borderId="8" xfId="0" applyFont="1" applyFill="1" applyBorder="1" applyAlignment="1">
      <alignment horizontal="left"/>
    </xf>
    <xf numFmtId="0" fontId="3" fillId="13" borderId="6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44" fontId="3" fillId="13" borderId="8" xfId="1" applyFont="1" applyFill="1" applyBorder="1" applyAlignment="1">
      <alignment horizontal="center"/>
    </xf>
    <xf numFmtId="0" fontId="2" fillId="0" borderId="10" xfId="0" applyFont="1" applyBorder="1"/>
    <xf numFmtId="0" fontId="3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wrapText="1"/>
    </xf>
    <xf numFmtId="44" fontId="31" fillId="0" borderId="1" xfId="1" applyFont="1" applyFill="1" applyBorder="1" applyAlignment="1">
      <alignment vertical="center"/>
    </xf>
    <xf numFmtId="0" fontId="31" fillId="0" borderId="1" xfId="1" applyNumberFormat="1" applyFont="1" applyFill="1" applyBorder="1" applyAlignment="1">
      <alignment horizontal="center" vertical="center"/>
    </xf>
    <xf numFmtId="14" fontId="31" fillId="0" borderId="1" xfId="1" applyNumberFormat="1" applyFont="1" applyFill="1" applyBorder="1" applyAlignment="1">
      <alignment vertical="center"/>
    </xf>
    <xf numFmtId="44" fontId="31" fillId="0" borderId="1" xfId="1" applyFont="1" applyFill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9" fontId="31" fillId="0" borderId="1" xfId="2" applyFont="1" applyFill="1" applyBorder="1" applyAlignment="1">
      <alignment horizontal="center" vertical="center"/>
    </xf>
    <xf numFmtId="44" fontId="31" fillId="0" borderId="2" xfId="1" applyFont="1" applyFill="1" applyBorder="1" applyAlignment="1">
      <alignment horizontal="center" vertical="center"/>
    </xf>
    <xf numFmtId="44" fontId="31" fillId="0" borderId="17" xfId="1" applyFont="1" applyFill="1" applyBorder="1" applyAlignment="1">
      <alignment horizontal="center" vertical="center"/>
    </xf>
    <xf numFmtId="0" fontId="31" fillId="0" borderId="0" xfId="0" applyFont="1"/>
    <xf numFmtId="44" fontId="40" fillId="0" borderId="1" xfId="1" applyFont="1" applyFill="1" applyBorder="1" applyAlignment="1"/>
    <xf numFmtId="0" fontId="40" fillId="0" borderId="1" xfId="1" applyNumberFormat="1" applyFont="1" applyFill="1" applyBorder="1" applyAlignment="1">
      <alignment horizontal="center" vertical="center"/>
    </xf>
    <xf numFmtId="14" fontId="40" fillId="0" borderId="1" xfId="1" applyNumberFormat="1" applyFont="1" applyFill="1" applyBorder="1" applyAlignment="1"/>
    <xf numFmtId="44" fontId="40" fillId="0" borderId="1" xfId="1" applyFont="1" applyFill="1" applyBorder="1" applyAlignment="1">
      <alignment horizontal="center" vertical="center"/>
    </xf>
    <xf numFmtId="12" fontId="40" fillId="0" borderId="1" xfId="1" applyNumberFormat="1" applyFont="1" applyFill="1" applyBorder="1" applyAlignment="1">
      <alignment horizontal="center" vertical="center"/>
    </xf>
    <xf numFmtId="14" fontId="40" fillId="0" borderId="1" xfId="1" applyNumberFormat="1" applyFont="1" applyFill="1" applyBorder="1" applyAlignment="1">
      <alignment horizontal="center" vertical="center"/>
    </xf>
    <xf numFmtId="1" fontId="31" fillId="0" borderId="1" xfId="0" quotePrefix="1" applyNumberFormat="1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9" fontId="31" fillId="0" borderId="1" xfId="0" applyNumberFormat="1" applyFont="1" applyBorder="1" applyAlignment="1">
      <alignment horizontal="center" vertical="center"/>
    </xf>
    <xf numFmtId="0" fontId="40" fillId="0" borderId="1" xfId="0" applyFont="1" applyBorder="1"/>
    <xf numFmtId="0" fontId="34" fillId="0" borderId="1" xfId="0" applyFont="1" applyBorder="1" applyAlignment="1">
      <alignment horizontal="center" vertical="center"/>
    </xf>
    <xf numFmtId="44" fontId="36" fillId="0" borderId="1" xfId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 vertical="center"/>
    </xf>
    <xf numFmtId="44" fontId="36" fillId="0" borderId="2" xfId="1" applyFont="1" applyFill="1" applyBorder="1" applyAlignment="1">
      <alignment horizontal="center" vertical="center"/>
    </xf>
    <xf numFmtId="44" fontId="36" fillId="0" borderId="17" xfId="1" applyFont="1" applyFill="1" applyBorder="1" applyAlignment="1">
      <alignment horizontal="center" vertical="center"/>
    </xf>
    <xf numFmtId="0" fontId="36" fillId="0" borderId="0" xfId="0" applyFont="1"/>
    <xf numFmtId="14" fontId="31" fillId="0" borderId="1" xfId="0" applyNumberFormat="1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65" fillId="0" borderId="19" xfId="0" applyFont="1" applyBorder="1" applyAlignment="1">
      <alignment horizontal="center" wrapText="1"/>
    </xf>
    <xf numFmtId="44" fontId="31" fillId="0" borderId="19" xfId="1" applyFont="1" applyFill="1" applyBorder="1" applyAlignment="1">
      <alignment horizontal="center" vertical="center"/>
    </xf>
    <xf numFmtId="14" fontId="31" fillId="0" borderId="19" xfId="0" applyNumberFormat="1" applyFont="1" applyBorder="1" applyAlignment="1">
      <alignment horizontal="center" vertical="center"/>
    </xf>
    <xf numFmtId="1" fontId="31" fillId="0" borderId="19" xfId="0" applyNumberFormat="1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9" fontId="31" fillId="0" borderId="19" xfId="0" applyNumberFormat="1" applyFont="1" applyBorder="1" applyAlignment="1">
      <alignment horizontal="center" vertical="center"/>
    </xf>
    <xf numFmtId="44" fontId="31" fillId="0" borderId="24" xfId="1" applyFont="1" applyFill="1" applyBorder="1" applyAlignment="1">
      <alignment horizontal="center" vertical="center"/>
    </xf>
    <xf numFmtId="44" fontId="31" fillId="0" borderId="21" xfId="1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2" fillId="0" borderId="9" xfId="0" applyFont="1" applyBorder="1"/>
    <xf numFmtId="0" fontId="3" fillId="15" borderId="9" xfId="0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center" vertical="center"/>
    </xf>
    <xf numFmtId="0" fontId="3" fillId="15" borderId="11" xfId="0" applyFont="1" applyFill="1" applyBorder="1" applyAlignment="1">
      <alignment horizontal="center" vertical="center"/>
    </xf>
    <xf numFmtId="8" fontId="31" fillId="22" borderId="29" xfId="1" applyNumberFormat="1" applyFont="1" applyFill="1" applyBorder="1" applyAlignment="1">
      <alignment horizontal="center" vertical="center"/>
    </xf>
    <xf numFmtId="14" fontId="66" fillId="22" borderId="1" xfId="0" applyNumberFormat="1" applyFont="1" applyFill="1" applyBorder="1" applyAlignment="1">
      <alignment horizontal="center" vertical="center"/>
    </xf>
    <xf numFmtId="1" fontId="31" fillId="22" borderId="30" xfId="0" applyNumberFormat="1" applyFont="1" applyFill="1" applyBorder="1" applyAlignment="1">
      <alignment horizontal="center" vertical="center"/>
    </xf>
    <xf numFmtId="44" fontId="31" fillId="0" borderId="29" xfId="1" applyFont="1" applyFill="1" applyBorder="1" applyAlignment="1">
      <alignment horizontal="center" vertical="center"/>
    </xf>
    <xf numFmtId="14" fontId="66" fillId="0" borderId="1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44" fontId="31" fillId="22" borderId="29" xfId="1" applyFont="1" applyFill="1" applyBorder="1" applyAlignment="1">
      <alignment horizontal="center" vertical="center"/>
    </xf>
    <xf numFmtId="14" fontId="31" fillId="0" borderId="12" xfId="0" applyNumberFormat="1" applyFont="1" applyBorder="1" applyAlignment="1">
      <alignment horizontal="center" vertical="center"/>
    </xf>
    <xf numFmtId="2" fontId="31" fillId="0" borderId="30" xfId="0" applyNumberFormat="1" applyFont="1" applyBorder="1" applyAlignment="1">
      <alignment horizontal="center" vertical="center"/>
    </xf>
    <xf numFmtId="8" fontId="31" fillId="22" borderId="16" xfId="1" applyNumberFormat="1" applyFont="1" applyFill="1" applyBorder="1" applyAlignment="1">
      <alignment horizontal="center" vertical="center"/>
    </xf>
    <xf numFmtId="14" fontId="31" fillId="22" borderId="1" xfId="0" applyNumberFormat="1" applyFont="1" applyFill="1" applyBorder="1" applyAlignment="1">
      <alignment horizontal="center" vertical="center"/>
    </xf>
    <xf numFmtId="1" fontId="31" fillId="22" borderId="17" xfId="0" applyNumberFormat="1" applyFont="1" applyFill="1" applyBorder="1" applyAlignment="1">
      <alignment horizontal="center" vertical="center"/>
    </xf>
    <xf numFmtId="44" fontId="31" fillId="0" borderId="16" xfId="1" applyFont="1" applyFill="1" applyBorder="1" applyAlignment="1">
      <alignment horizontal="center" vertical="center"/>
    </xf>
    <xf numFmtId="1" fontId="31" fillId="0" borderId="17" xfId="0" applyNumberFormat="1" applyFont="1" applyBorder="1" applyAlignment="1">
      <alignment horizontal="center" vertical="center"/>
    </xf>
    <xf numFmtId="44" fontId="31" fillId="22" borderId="16" xfId="1" applyFont="1" applyFill="1" applyBorder="1" applyAlignment="1">
      <alignment horizontal="center" vertical="center"/>
    </xf>
    <xf numFmtId="2" fontId="31" fillId="0" borderId="17" xfId="0" applyNumberFormat="1" applyFont="1" applyBorder="1" applyAlignment="1">
      <alignment horizontal="center" vertical="center"/>
    </xf>
    <xf numFmtId="8" fontId="31" fillId="0" borderId="16" xfId="1" applyNumberFormat="1" applyFont="1" applyFill="1" applyBorder="1" applyAlignment="1">
      <alignment horizontal="center" vertical="center"/>
    </xf>
    <xf numFmtId="1" fontId="31" fillId="0" borderId="17" xfId="0" quotePrefix="1" applyNumberFormat="1" applyFont="1" applyBorder="1" applyAlignment="1">
      <alignment horizontal="center" vertical="center"/>
    </xf>
    <xf numFmtId="49" fontId="31" fillId="0" borderId="17" xfId="0" applyNumberFormat="1" applyFont="1" applyBorder="1" applyAlignment="1">
      <alignment horizontal="center" vertical="center"/>
    </xf>
    <xf numFmtId="44" fontId="31" fillId="0" borderId="18" xfId="1" applyFont="1" applyFill="1" applyBorder="1" applyAlignment="1">
      <alignment horizontal="center" vertical="center"/>
    </xf>
    <xf numFmtId="2" fontId="31" fillId="0" borderId="21" xfId="0" applyNumberFormat="1" applyFont="1" applyBorder="1" applyAlignment="1">
      <alignment horizontal="center" vertical="center"/>
    </xf>
    <xf numFmtId="1" fontId="31" fillId="0" borderId="21" xfId="0" applyNumberFormat="1" applyFont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44" fontId="39" fillId="7" borderId="7" xfId="1" applyFont="1" applyFill="1" applyBorder="1"/>
    <xf numFmtId="0" fontId="39" fillId="0" borderId="10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44" fontId="39" fillId="5" borderId="7" xfId="1" applyFont="1" applyFill="1" applyBorder="1"/>
    <xf numFmtId="44" fontId="39" fillId="6" borderId="7" xfId="1" applyFont="1" applyFill="1" applyBorder="1"/>
    <xf numFmtId="0" fontId="39" fillId="9" borderId="9" xfId="0" applyFont="1" applyFill="1" applyBorder="1"/>
    <xf numFmtId="0" fontId="68" fillId="0" borderId="7" xfId="0" applyFont="1" applyBorder="1" applyAlignment="1">
      <alignment horizontal="center"/>
    </xf>
    <xf numFmtId="0" fontId="39" fillId="0" borderId="0" xfId="0" applyFont="1" applyAlignment="1">
      <alignment vertical="center"/>
    </xf>
    <xf numFmtId="44" fontId="39" fillId="14" borderId="7" xfId="1" applyFont="1" applyFill="1" applyBorder="1"/>
    <xf numFmtId="0" fontId="38" fillId="3" borderId="6" xfId="0" applyFont="1" applyFill="1" applyBorder="1" applyAlignment="1">
      <alignment horizontal="center"/>
    </xf>
    <xf numFmtId="0" fontId="38" fillId="3" borderId="5" xfId="0" applyFont="1" applyFill="1" applyBorder="1" applyAlignment="1">
      <alignment horizontal="center"/>
    </xf>
    <xf numFmtId="0" fontId="38" fillId="3" borderId="8" xfId="0" applyFont="1" applyFill="1" applyBorder="1" applyAlignment="1">
      <alignment horizontal="left"/>
    </xf>
    <xf numFmtId="0" fontId="38" fillId="10" borderId="6" xfId="0" applyFont="1" applyFill="1" applyBorder="1" applyAlignment="1">
      <alignment horizontal="center" vertical="center"/>
    </xf>
    <xf numFmtId="44" fontId="38" fillId="10" borderId="5" xfId="1" applyFont="1" applyFill="1" applyBorder="1" applyAlignment="1">
      <alignment horizontal="center"/>
    </xf>
    <xf numFmtId="0" fontId="38" fillId="10" borderId="8" xfId="0" applyFont="1" applyFill="1" applyBorder="1" applyAlignment="1">
      <alignment horizontal="center"/>
    </xf>
    <xf numFmtId="44" fontId="38" fillId="12" borderId="6" xfId="1" applyFont="1" applyFill="1" applyBorder="1" applyAlignment="1">
      <alignment horizontal="center"/>
    </xf>
    <xf numFmtId="0" fontId="38" fillId="12" borderId="5" xfId="0" applyFont="1" applyFill="1" applyBorder="1" applyAlignment="1">
      <alignment horizontal="center"/>
    </xf>
    <xf numFmtId="0" fontId="38" fillId="12" borderId="8" xfId="0" applyFont="1" applyFill="1" applyBorder="1" applyAlignment="1">
      <alignment horizontal="center"/>
    </xf>
    <xf numFmtId="44" fontId="38" fillId="4" borderId="6" xfId="1" applyFont="1" applyFill="1" applyBorder="1" applyAlignment="1">
      <alignment horizontal="center"/>
    </xf>
    <xf numFmtId="0" fontId="38" fillId="4" borderId="5" xfId="0" applyFont="1" applyFill="1" applyBorder="1" applyAlignment="1">
      <alignment horizontal="center"/>
    </xf>
    <xf numFmtId="0" fontId="38" fillId="4" borderId="8" xfId="0" applyFont="1" applyFill="1" applyBorder="1" applyAlignment="1">
      <alignment horizontal="center"/>
    </xf>
    <xf numFmtId="0" fontId="38" fillId="5" borderId="6" xfId="0" applyFont="1" applyFill="1" applyBorder="1" applyAlignment="1">
      <alignment horizontal="center"/>
    </xf>
    <xf numFmtId="0" fontId="38" fillId="5" borderId="5" xfId="0" applyFont="1" applyFill="1" applyBorder="1" applyAlignment="1">
      <alignment horizontal="center"/>
    </xf>
    <xf numFmtId="0" fontId="38" fillId="5" borderId="8" xfId="0" applyFont="1" applyFill="1" applyBorder="1" applyAlignment="1">
      <alignment horizontal="center"/>
    </xf>
    <xf numFmtId="0" fontId="38" fillId="6" borderId="6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/>
    </xf>
    <xf numFmtId="0" fontId="38" fillId="6" borderId="8" xfId="0" applyFont="1" applyFill="1" applyBorder="1" applyAlignment="1">
      <alignment horizontal="center"/>
    </xf>
    <xf numFmtId="0" fontId="38" fillId="13" borderId="6" xfId="0" applyFont="1" applyFill="1" applyBorder="1" applyAlignment="1">
      <alignment horizontal="center"/>
    </xf>
    <xf numFmtId="0" fontId="38" fillId="13" borderId="5" xfId="0" applyFont="1" applyFill="1" applyBorder="1" applyAlignment="1">
      <alignment horizontal="center"/>
    </xf>
    <xf numFmtId="44" fontId="38" fillId="13" borderId="8" xfId="1" applyFont="1" applyFill="1" applyBorder="1" applyAlignment="1">
      <alignment horizontal="center"/>
    </xf>
    <xf numFmtId="0" fontId="39" fillId="0" borderId="1" xfId="0" applyFont="1" applyBorder="1"/>
    <xf numFmtId="0" fontId="32" fillId="0" borderId="34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54" fillId="23" borderId="15" xfId="0" applyFont="1" applyFill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44" fontId="32" fillId="0" borderId="15" xfId="1" applyFont="1" applyFill="1" applyBorder="1" applyAlignment="1">
      <alignment horizontal="center" vertical="center"/>
    </xf>
    <xf numFmtId="49" fontId="32" fillId="0" borderId="15" xfId="1" applyNumberFormat="1" applyFont="1" applyFill="1" applyBorder="1" applyAlignment="1">
      <alignment horizontal="center" vertical="center"/>
    </xf>
    <xf numFmtId="14" fontId="32" fillId="0" borderId="15" xfId="0" applyNumberFormat="1" applyFont="1" applyBorder="1" applyAlignment="1">
      <alignment horizontal="center" vertical="center"/>
    </xf>
    <xf numFmtId="49" fontId="32" fillId="0" borderId="15" xfId="0" applyNumberFormat="1" applyFont="1" applyBorder="1" applyAlignment="1">
      <alignment horizontal="center" vertical="center"/>
    </xf>
    <xf numFmtId="1" fontId="32" fillId="0" borderId="15" xfId="0" applyNumberFormat="1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9" fontId="32" fillId="0" borderId="15" xfId="2" applyFont="1" applyFill="1" applyBorder="1" applyAlignment="1">
      <alignment horizontal="center" vertical="center"/>
    </xf>
    <xf numFmtId="44" fontId="35" fillId="0" borderId="20" xfId="1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 vertical="center" wrapText="1"/>
    </xf>
    <xf numFmtId="44" fontId="35" fillId="0" borderId="1" xfId="1" applyFont="1" applyFill="1" applyBorder="1" applyAlignment="1">
      <alignment horizontal="center" vertical="center"/>
    </xf>
    <xf numFmtId="49" fontId="35" fillId="0" borderId="1" xfId="1" quotePrefix="1" applyNumberFormat="1" applyFont="1" applyFill="1" applyBorder="1" applyAlignment="1">
      <alignment horizontal="center" vertical="center"/>
    </xf>
    <xf numFmtId="49" fontId="35" fillId="0" borderId="1" xfId="0" quotePrefix="1" applyNumberFormat="1" applyFont="1" applyBorder="1" applyAlignment="1">
      <alignment horizontal="center" vertical="center"/>
    </xf>
    <xf numFmtId="49" fontId="35" fillId="0" borderId="1" xfId="1" applyNumberFormat="1" applyFont="1" applyFill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49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9" fontId="35" fillId="0" borderId="1" xfId="2" applyFont="1" applyFill="1" applyBorder="1" applyAlignment="1">
      <alignment horizontal="center" vertical="center"/>
    </xf>
    <xf numFmtId="44" fontId="35" fillId="0" borderId="17" xfId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54" fillId="23" borderId="1" xfId="0" applyFont="1" applyFill="1" applyBorder="1" applyAlignment="1">
      <alignment horizontal="center" vertical="center" wrapText="1"/>
    </xf>
    <xf numFmtId="44" fontId="32" fillId="0" borderId="1" xfId="1" applyFont="1" applyFill="1" applyBorder="1" applyAlignment="1">
      <alignment horizontal="center" vertical="center"/>
    </xf>
    <xf numFmtId="49" fontId="32" fillId="0" borderId="1" xfId="1" applyNumberFormat="1" applyFont="1" applyFill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9" fontId="32" fillId="0" borderId="1" xfId="2" applyFont="1" applyFill="1" applyBorder="1" applyAlignment="1">
      <alignment horizontal="center" vertical="center"/>
    </xf>
    <xf numFmtId="0" fontId="57" fillId="23" borderId="1" xfId="0" applyFont="1" applyFill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1" fontId="32" fillId="0" borderId="1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33" fillId="0" borderId="1" xfId="0" applyNumberFormat="1" applyFont="1" applyBorder="1" applyAlignment="1">
      <alignment horizontal="center" vertical="center"/>
    </xf>
    <xf numFmtId="0" fontId="32" fillId="0" borderId="26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9" fontId="69" fillId="0" borderId="19" xfId="0" applyNumberFormat="1" applyFont="1" applyBorder="1" applyAlignment="1">
      <alignment horizontal="center" vertical="center" wrapText="1"/>
    </xf>
    <xf numFmtId="44" fontId="32" fillId="0" borderId="19" xfId="1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49" fontId="33" fillId="0" borderId="19" xfId="0" applyNumberFormat="1" applyFont="1" applyBorder="1" applyAlignment="1">
      <alignment horizontal="center" vertical="center"/>
    </xf>
    <xf numFmtId="1" fontId="32" fillId="0" borderId="19" xfId="0" applyNumberFormat="1" applyFont="1" applyBorder="1" applyAlignment="1">
      <alignment horizontal="center" vertical="center"/>
    </xf>
    <xf numFmtId="49" fontId="32" fillId="0" borderId="19" xfId="0" applyNumberFormat="1" applyFont="1" applyBorder="1" applyAlignment="1">
      <alignment horizontal="center" vertical="center"/>
    </xf>
    <xf numFmtId="9" fontId="32" fillId="0" borderId="19" xfId="2" applyFont="1" applyFill="1" applyBorder="1" applyAlignment="1">
      <alignment horizontal="center" vertical="center"/>
    </xf>
    <xf numFmtId="44" fontId="35" fillId="0" borderId="21" xfId="1" applyFont="1" applyFill="1" applyBorder="1" applyAlignment="1">
      <alignment horizontal="center" vertical="center"/>
    </xf>
    <xf numFmtId="0" fontId="39" fillId="0" borderId="9" xfId="0" applyFont="1" applyBorder="1"/>
    <xf numFmtId="0" fontId="39" fillId="0" borderId="10" xfId="0" applyFont="1" applyBorder="1"/>
    <xf numFmtId="0" fontId="70" fillId="15" borderId="9" xfId="0" applyFont="1" applyFill="1" applyBorder="1" applyAlignment="1">
      <alignment horizontal="center" vertical="center"/>
    </xf>
    <xf numFmtId="0" fontId="70" fillId="15" borderId="10" xfId="0" applyFont="1" applyFill="1" applyBorder="1" applyAlignment="1">
      <alignment horizontal="center" vertical="center"/>
    </xf>
    <xf numFmtId="0" fontId="70" fillId="15" borderId="11" xfId="0" applyFont="1" applyFill="1" applyBorder="1" applyAlignment="1">
      <alignment horizontal="center" vertical="center"/>
    </xf>
    <xf numFmtId="0" fontId="32" fillId="0" borderId="62" xfId="0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0" fontId="71" fillId="0" borderId="28" xfId="0" applyFont="1" applyBorder="1" applyAlignment="1">
      <alignment horizontal="center" vertical="center" wrapText="1"/>
    </xf>
    <xf numFmtId="8" fontId="35" fillId="26" borderId="29" xfId="1" applyNumberFormat="1" applyFont="1" applyFill="1" applyBorder="1" applyAlignment="1">
      <alignment horizontal="center" vertical="center"/>
    </xf>
    <xf numFmtId="14" fontId="35" fillId="26" borderId="12" xfId="0" applyNumberFormat="1" applyFont="1" applyFill="1" applyBorder="1" applyAlignment="1">
      <alignment horizontal="center" vertical="center"/>
    </xf>
    <xf numFmtId="1" fontId="35" fillId="26" borderId="30" xfId="0" applyNumberFormat="1" applyFont="1" applyFill="1" applyBorder="1" applyAlignment="1">
      <alignment horizontal="center" vertical="center"/>
    </xf>
    <xf numFmtId="0" fontId="57" fillId="0" borderId="28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 wrapText="1"/>
    </xf>
    <xf numFmtId="44" fontId="32" fillId="26" borderId="16" xfId="1" applyFont="1" applyFill="1" applyBorder="1" applyAlignment="1">
      <alignment horizontal="center" vertical="center"/>
    </xf>
    <xf numFmtId="14" fontId="32" fillId="26" borderId="1" xfId="0" applyNumberFormat="1" applyFont="1" applyFill="1" applyBorder="1" applyAlignment="1">
      <alignment horizontal="center" vertical="center"/>
    </xf>
    <xf numFmtId="1" fontId="32" fillId="26" borderId="17" xfId="0" applyNumberFormat="1" applyFont="1" applyFill="1" applyBorder="1" applyAlignment="1">
      <alignment horizontal="center" vertical="center"/>
    </xf>
    <xf numFmtId="1" fontId="32" fillId="26" borderId="2" xfId="0" applyNumberFormat="1" applyFont="1" applyFill="1" applyBorder="1" applyAlignment="1">
      <alignment horizontal="center" vertical="center"/>
    </xf>
    <xf numFmtId="44" fontId="54" fillId="0" borderId="1" xfId="1" applyFont="1" applyFill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57" fillId="0" borderId="4" xfId="0" applyFont="1" applyBorder="1"/>
    <xf numFmtId="0" fontId="35" fillId="0" borderId="1" xfId="0" applyFont="1" applyBorder="1"/>
    <xf numFmtId="0" fontId="57" fillId="0" borderId="24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38" fillId="10" borderId="6" xfId="0" applyFont="1" applyFill="1" applyBorder="1" applyAlignment="1">
      <alignment horizontal="center"/>
    </xf>
    <xf numFmtId="44" fontId="38" fillId="10" borderId="35" xfId="1" applyFont="1" applyFill="1" applyBorder="1" applyAlignment="1">
      <alignment horizontal="center"/>
    </xf>
    <xf numFmtId="0" fontId="38" fillId="10" borderId="36" xfId="0" applyFont="1" applyFill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72" fillId="0" borderId="3" xfId="0" applyFont="1" applyBorder="1" applyAlignment="1">
      <alignment horizontal="center"/>
    </xf>
    <xf numFmtId="0" fontId="72" fillId="0" borderId="1" xfId="0" applyFont="1" applyBorder="1" applyAlignment="1">
      <alignment horizontal="center"/>
    </xf>
    <xf numFmtId="0" fontId="73" fillId="23" borderId="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wrapText="1"/>
    </xf>
    <xf numFmtId="44" fontId="72" fillId="0" borderId="1" xfId="1" applyFont="1" applyFill="1" applyBorder="1" applyAlignment="1">
      <alignment horizontal="center" vertical="center"/>
    </xf>
    <xf numFmtId="0" fontId="72" fillId="0" borderId="1" xfId="1" applyNumberFormat="1" applyFont="1" applyFill="1" applyBorder="1" applyAlignment="1">
      <alignment horizontal="center" vertical="center"/>
    </xf>
    <xf numFmtId="14" fontId="72" fillId="0" borderId="1" xfId="1" applyNumberFormat="1" applyFont="1" applyFill="1" applyBorder="1" applyAlignment="1">
      <alignment horizontal="center" vertical="center"/>
    </xf>
    <xf numFmtId="14" fontId="72" fillId="0" borderId="1" xfId="0" applyNumberFormat="1" applyFont="1" applyBorder="1" applyAlignment="1">
      <alignment horizontal="center"/>
    </xf>
    <xf numFmtId="1" fontId="72" fillId="0" borderId="1" xfId="0" quotePrefix="1" applyNumberFormat="1" applyFont="1" applyBorder="1" applyAlignment="1">
      <alignment horizontal="center" vertical="center"/>
    </xf>
    <xf numFmtId="1" fontId="72" fillId="0" borderId="1" xfId="0" applyNumberFormat="1" applyFont="1" applyBorder="1" applyAlignment="1">
      <alignment horizontal="center" vertical="center"/>
    </xf>
    <xf numFmtId="44" fontId="72" fillId="0" borderId="1" xfId="1" applyFont="1" applyFill="1" applyBorder="1" applyAlignment="1">
      <alignment horizontal="center"/>
    </xf>
    <xf numFmtId="1" fontId="72" fillId="0" borderId="1" xfId="0" applyNumberFormat="1" applyFont="1" applyBorder="1" applyAlignment="1">
      <alignment horizontal="center"/>
    </xf>
    <xf numFmtId="9" fontId="72" fillId="0" borderId="1" xfId="2" applyFont="1" applyFill="1" applyBorder="1" applyAlignment="1">
      <alignment horizontal="center"/>
    </xf>
    <xf numFmtId="44" fontId="72" fillId="0" borderId="2" xfId="1" applyFont="1" applyFill="1" applyBorder="1" applyAlignment="1">
      <alignment horizontal="center"/>
    </xf>
    <xf numFmtId="44" fontId="72" fillId="0" borderId="17" xfId="1" applyFont="1" applyFill="1" applyBorder="1" applyAlignment="1">
      <alignment horizontal="center"/>
    </xf>
    <xf numFmtId="44" fontId="75" fillId="0" borderId="1" xfId="1" applyFont="1" applyFill="1" applyBorder="1" applyAlignment="1">
      <alignment horizontal="center"/>
    </xf>
    <xf numFmtId="0" fontId="73" fillId="0" borderId="1" xfId="0" applyFont="1" applyBorder="1" applyAlignment="1">
      <alignment horizontal="center" vertical="center" wrapText="1"/>
    </xf>
    <xf numFmtId="14" fontId="75" fillId="0" borderId="1" xfId="1" applyNumberFormat="1" applyFont="1" applyFill="1" applyBorder="1" applyAlignment="1">
      <alignment horizontal="center"/>
    </xf>
    <xf numFmtId="14" fontId="72" fillId="0" borderId="1" xfId="0" applyNumberFormat="1" applyFont="1" applyBorder="1" applyAlignment="1">
      <alignment horizontal="center" vertical="center"/>
    </xf>
    <xf numFmtId="44" fontId="72" fillId="0" borderId="1" xfId="1" applyFont="1" applyFill="1" applyBorder="1" applyAlignment="1">
      <alignment vertical="center"/>
    </xf>
    <xf numFmtId="44" fontId="72" fillId="0" borderId="1" xfId="1" applyFont="1" applyFill="1" applyBorder="1"/>
    <xf numFmtId="14" fontId="72" fillId="0" borderId="1" xfId="0" applyNumberFormat="1" applyFont="1" applyBorder="1"/>
    <xf numFmtId="9" fontId="72" fillId="0" borderId="1" xfId="0" applyNumberFormat="1" applyFont="1" applyBorder="1" applyAlignment="1">
      <alignment horizontal="center"/>
    </xf>
    <xf numFmtId="44" fontId="72" fillId="0" borderId="2" xfId="1" applyFont="1" applyFill="1" applyBorder="1"/>
    <xf numFmtId="0" fontId="76" fillId="0" borderId="1" xfId="0" applyFont="1" applyBorder="1" applyAlignment="1">
      <alignment horizontal="center" vertical="center"/>
    </xf>
    <xf numFmtId="0" fontId="77" fillId="0" borderId="1" xfId="0" applyFont="1" applyBorder="1"/>
    <xf numFmtId="44" fontId="77" fillId="0" borderId="1" xfId="1" applyFont="1" applyFill="1" applyBorder="1" applyAlignment="1">
      <alignment horizontal="center" vertical="center"/>
    </xf>
    <xf numFmtId="14" fontId="77" fillId="0" borderId="1" xfId="0" applyNumberFormat="1" applyFont="1" applyBorder="1" applyAlignment="1">
      <alignment horizontal="center" vertical="center"/>
    </xf>
    <xf numFmtId="1" fontId="77" fillId="0" borderId="1" xfId="0" quotePrefix="1" applyNumberFormat="1" applyFont="1" applyBorder="1" applyAlignment="1">
      <alignment horizontal="center" vertical="center"/>
    </xf>
    <xf numFmtId="44" fontId="77" fillId="0" borderId="1" xfId="1" applyFont="1" applyFill="1" applyBorder="1"/>
    <xf numFmtId="14" fontId="77" fillId="0" borderId="1" xfId="0" applyNumberFormat="1" applyFont="1" applyBorder="1"/>
    <xf numFmtId="1" fontId="77" fillId="0" borderId="1" xfId="0" applyNumberFormat="1" applyFont="1" applyBorder="1" applyAlignment="1">
      <alignment horizontal="center"/>
    </xf>
    <xf numFmtId="14" fontId="77" fillId="0" borderId="1" xfId="0" applyNumberFormat="1" applyFont="1" applyBorder="1" applyAlignment="1">
      <alignment horizontal="center"/>
    </xf>
    <xf numFmtId="0" fontId="77" fillId="0" borderId="1" xfId="0" applyFont="1" applyBorder="1" applyAlignment="1">
      <alignment horizontal="center"/>
    </xf>
    <xf numFmtId="44" fontId="77" fillId="0" borderId="2" xfId="1" applyFont="1" applyFill="1" applyBorder="1"/>
    <xf numFmtId="44" fontId="77" fillId="0" borderId="17" xfId="1" applyFont="1" applyFill="1" applyBorder="1" applyAlignment="1">
      <alignment horizontal="center"/>
    </xf>
    <xf numFmtId="0" fontId="76" fillId="0" borderId="0" xfId="0" applyFont="1"/>
    <xf numFmtId="14" fontId="72" fillId="0" borderId="1" xfId="0" applyNumberFormat="1" applyFont="1" applyBorder="1" applyAlignment="1">
      <alignment horizontal="center" wrapText="1"/>
    </xf>
    <xf numFmtId="1" fontId="72" fillId="0" borderId="1" xfId="0" applyNumberFormat="1" applyFont="1" applyBorder="1" applyAlignment="1">
      <alignment horizontal="center" wrapText="1"/>
    </xf>
    <xf numFmtId="0" fontId="59" fillId="0" borderId="1" xfId="0" applyFont="1" applyBorder="1" applyAlignment="1">
      <alignment horizontal="center" vertical="center" wrapText="1"/>
    </xf>
    <xf numFmtId="12" fontId="75" fillId="0" borderId="1" xfId="1" applyNumberFormat="1" applyFont="1" applyFill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2" fillId="0" borderId="26" xfId="0" applyFont="1" applyBorder="1" applyAlignment="1">
      <alignment horizontal="center"/>
    </xf>
    <xf numFmtId="0" fontId="72" fillId="0" borderId="19" xfId="0" applyFont="1" applyBorder="1" applyAlignment="1">
      <alignment horizontal="center"/>
    </xf>
    <xf numFmtId="0" fontId="74" fillId="0" borderId="19" xfId="0" applyFont="1" applyBorder="1" applyAlignment="1">
      <alignment horizontal="center" wrapText="1"/>
    </xf>
    <xf numFmtId="0" fontId="75" fillId="0" borderId="1" xfId="0" applyFont="1" applyBorder="1" applyAlignment="1">
      <alignment horizontal="center" wrapText="1"/>
    </xf>
    <xf numFmtId="44" fontId="72" fillId="0" borderId="19" xfId="1" applyFont="1" applyFill="1" applyBorder="1" applyAlignment="1">
      <alignment horizontal="center" vertical="center"/>
    </xf>
    <xf numFmtId="14" fontId="72" fillId="0" borderId="19" xfId="0" applyNumberFormat="1" applyFont="1" applyBorder="1" applyAlignment="1">
      <alignment horizontal="center" vertical="center"/>
    </xf>
    <xf numFmtId="1" fontId="72" fillId="0" borderId="19" xfId="0" applyNumberFormat="1" applyFont="1" applyBorder="1" applyAlignment="1">
      <alignment horizontal="center" vertical="center"/>
    </xf>
    <xf numFmtId="44" fontId="72" fillId="0" borderId="19" xfId="1" applyFont="1" applyFill="1" applyBorder="1"/>
    <xf numFmtId="14" fontId="72" fillId="0" borderId="19" xfId="0" applyNumberFormat="1" applyFont="1" applyBorder="1"/>
    <xf numFmtId="1" fontId="72" fillId="0" borderId="19" xfId="0" applyNumberFormat="1" applyFont="1" applyBorder="1" applyAlignment="1">
      <alignment horizontal="center"/>
    </xf>
    <xf numFmtId="14" fontId="72" fillId="0" borderId="19" xfId="0" applyNumberFormat="1" applyFont="1" applyBorder="1" applyAlignment="1">
      <alignment horizontal="center"/>
    </xf>
    <xf numFmtId="9" fontId="72" fillId="0" borderId="19" xfId="0" applyNumberFormat="1" applyFont="1" applyBorder="1" applyAlignment="1">
      <alignment horizontal="center"/>
    </xf>
    <xf numFmtId="44" fontId="72" fillId="0" borderId="24" xfId="1" applyFont="1" applyFill="1" applyBorder="1"/>
    <xf numFmtId="44" fontId="72" fillId="0" borderId="21" xfId="1" applyFont="1" applyFill="1" applyBorder="1" applyAlignment="1">
      <alignment horizontal="center"/>
    </xf>
    <xf numFmtId="0" fontId="73" fillId="0" borderId="19" xfId="0" applyFont="1" applyBorder="1" applyAlignment="1">
      <alignment horizontal="center" vertical="center" wrapText="1"/>
    </xf>
    <xf numFmtId="0" fontId="38" fillId="15" borderId="9" xfId="0" applyFont="1" applyFill="1" applyBorder="1" applyAlignment="1">
      <alignment horizontal="center" vertical="center"/>
    </xf>
    <xf numFmtId="0" fontId="38" fillId="15" borderId="10" xfId="0" applyFont="1" applyFill="1" applyBorder="1" applyAlignment="1">
      <alignment horizontal="center" vertical="center"/>
    </xf>
    <xf numFmtId="0" fontId="38" fillId="15" borderId="11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6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20" fillId="0" borderId="62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3" xfId="0" applyFont="1" applyBorder="1"/>
    <xf numFmtId="0" fontId="14" fillId="0" borderId="26" xfId="0" applyFont="1" applyBorder="1" applyAlignment="1">
      <alignment horizontal="center"/>
    </xf>
    <xf numFmtId="44" fontId="39" fillId="0" borderId="0" xfId="1" applyFont="1"/>
    <xf numFmtId="1" fontId="41" fillId="0" borderId="17" xfId="0" applyNumberFormat="1" applyFont="1" applyBorder="1" applyAlignment="1">
      <alignment horizontal="center" vertical="center"/>
    </xf>
    <xf numFmtId="0" fontId="52" fillId="0" borderId="0" xfId="0" applyFont="1"/>
    <xf numFmtId="0" fontId="71" fillId="0" borderId="2" xfId="0" applyFont="1" applyBorder="1" applyAlignment="1">
      <alignment horizontal="center" vertical="center" wrapText="1"/>
    </xf>
    <xf numFmtId="44" fontId="31" fillId="0" borderId="12" xfId="1" applyFont="1" applyFill="1" applyBorder="1" applyAlignment="1">
      <alignment horizontal="center" vertical="center"/>
    </xf>
    <xf numFmtId="14" fontId="31" fillId="0" borderId="12" xfId="1" applyNumberFormat="1" applyFont="1" applyFill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1" fontId="31" fillId="0" borderId="1" xfId="1" quotePrefix="1" applyNumberFormat="1" applyFont="1" applyFill="1" applyBorder="1" applyAlignment="1">
      <alignment horizontal="center" vertical="center"/>
    </xf>
    <xf numFmtId="14" fontId="31" fillId="0" borderId="1" xfId="1" applyNumberFormat="1" applyFont="1" applyFill="1" applyBorder="1" applyAlignment="1">
      <alignment horizontal="center" vertical="center"/>
    </xf>
    <xf numFmtId="1" fontId="31" fillId="0" borderId="1" xfId="1" applyNumberFormat="1" applyFont="1" applyFill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4" fillId="0" borderId="66" xfId="0" applyFont="1" applyBorder="1" applyAlignment="1">
      <alignment horizontal="center" vertical="center" wrapText="1"/>
    </xf>
    <xf numFmtId="44" fontId="31" fillId="0" borderId="66" xfId="1" applyFont="1" applyFill="1" applyBorder="1" applyAlignment="1">
      <alignment horizontal="center" vertical="center"/>
    </xf>
    <xf numFmtId="1" fontId="31" fillId="0" borderId="66" xfId="0" applyNumberFormat="1" applyFont="1" applyBorder="1" applyAlignment="1">
      <alignment horizontal="center" vertical="center"/>
    </xf>
    <xf numFmtId="14" fontId="31" fillId="0" borderId="66" xfId="0" applyNumberFormat="1" applyFont="1" applyBorder="1" applyAlignment="1">
      <alignment horizontal="center" vertical="center"/>
    </xf>
    <xf numFmtId="9" fontId="31" fillId="0" borderId="66" xfId="2" applyFont="1" applyFill="1" applyBorder="1" applyAlignment="1">
      <alignment horizontal="center" vertical="center"/>
    </xf>
    <xf numFmtId="44" fontId="31" fillId="0" borderId="68" xfId="1" applyFont="1" applyFill="1" applyBorder="1" applyAlignment="1">
      <alignment horizontal="center" vertical="center"/>
    </xf>
    <xf numFmtId="44" fontId="31" fillId="0" borderId="67" xfId="1" applyFont="1" applyFill="1" applyBorder="1" applyAlignment="1">
      <alignment horizontal="center" vertical="center"/>
    </xf>
    <xf numFmtId="49" fontId="31" fillId="22" borderId="17" xfId="0" applyNumberFormat="1" applyFont="1" applyFill="1" applyBorder="1" applyAlignment="1">
      <alignment horizontal="center" vertical="center"/>
    </xf>
    <xf numFmtId="1" fontId="36" fillId="0" borderId="17" xfId="0" applyNumberFormat="1" applyFont="1" applyBorder="1" applyAlignment="1">
      <alignment horizontal="center" vertical="center"/>
    </xf>
    <xf numFmtId="44" fontId="40" fillId="0" borderId="16" xfId="1" applyFont="1" applyFill="1" applyBorder="1" applyAlignment="1">
      <alignment horizontal="center" vertical="center"/>
    </xf>
    <xf numFmtId="2" fontId="31" fillId="22" borderId="17" xfId="0" applyNumberFormat="1" applyFont="1" applyFill="1" applyBorder="1" applyAlignment="1">
      <alignment horizontal="center" vertical="center"/>
    </xf>
    <xf numFmtId="2" fontId="36" fillId="0" borderId="17" xfId="0" applyNumberFormat="1" applyFont="1" applyBorder="1" applyAlignment="1">
      <alignment horizontal="center" vertical="center"/>
    </xf>
    <xf numFmtId="44" fontId="36" fillId="0" borderId="16" xfId="1" applyFont="1" applyFill="1" applyBorder="1" applyAlignment="1">
      <alignment horizontal="center" vertical="center"/>
    </xf>
    <xf numFmtId="0" fontId="31" fillId="22" borderId="17" xfId="0" applyFont="1" applyFill="1" applyBorder="1" applyAlignment="1">
      <alignment horizontal="center" vertical="center"/>
    </xf>
    <xf numFmtId="44" fontId="31" fillId="0" borderId="3" xfId="1" applyFont="1" applyFill="1" applyBorder="1" applyAlignment="1">
      <alignment horizontal="center" vertical="center"/>
    </xf>
    <xf numFmtId="44" fontId="31" fillId="22" borderId="65" xfId="1" applyFont="1" applyFill="1" applyBorder="1" applyAlignment="1">
      <alignment horizontal="center" vertical="center"/>
    </xf>
    <xf numFmtId="14" fontId="31" fillId="22" borderId="66" xfId="0" applyNumberFormat="1" applyFont="1" applyFill="1" applyBorder="1" applyAlignment="1">
      <alignment horizontal="center" vertical="center"/>
    </xf>
    <xf numFmtId="44" fontId="31" fillId="0" borderId="65" xfId="1" applyFont="1" applyFill="1" applyBorder="1" applyAlignment="1">
      <alignment horizontal="center" vertical="center"/>
    </xf>
    <xf numFmtId="2" fontId="31" fillId="0" borderId="67" xfId="0" applyNumberFormat="1" applyFont="1" applyBorder="1" applyAlignment="1">
      <alignment horizontal="center" vertical="center"/>
    </xf>
    <xf numFmtId="1" fontId="31" fillId="0" borderId="67" xfId="0" applyNumberFormat="1" applyFont="1" applyBorder="1" applyAlignment="1">
      <alignment horizontal="center" vertical="center"/>
    </xf>
    <xf numFmtId="1" fontId="31" fillId="22" borderId="67" xfId="0" applyNumberFormat="1" applyFont="1" applyFill="1" applyBorder="1" applyAlignment="1">
      <alignment horizontal="center" vertical="center"/>
    </xf>
    <xf numFmtId="44" fontId="36" fillId="0" borderId="65" xfId="1" applyFont="1" applyFill="1" applyBorder="1" applyAlignment="1">
      <alignment horizontal="center" vertical="center"/>
    </xf>
    <xf numFmtId="14" fontId="36" fillId="0" borderId="66" xfId="0" applyNumberFormat="1" applyFont="1" applyBorder="1" applyAlignment="1">
      <alignment horizontal="center" vertical="center"/>
    </xf>
    <xf numFmtId="2" fontId="36" fillId="0" borderId="67" xfId="0" applyNumberFormat="1" applyFont="1" applyBorder="1" applyAlignment="1">
      <alignment horizontal="center" vertical="center"/>
    </xf>
    <xf numFmtId="44" fontId="31" fillId="25" borderId="65" xfId="1" applyFont="1" applyFill="1" applyBorder="1" applyAlignment="1">
      <alignment horizontal="center" vertical="center"/>
    </xf>
    <xf numFmtId="14" fontId="31" fillId="25" borderId="66" xfId="0" applyNumberFormat="1" applyFont="1" applyFill="1" applyBorder="1" applyAlignment="1">
      <alignment horizontal="center" vertical="center"/>
    </xf>
    <xf numFmtId="2" fontId="31" fillId="25" borderId="67" xfId="0" applyNumberFormat="1" applyFont="1" applyFill="1" applyBorder="1" applyAlignment="1">
      <alignment horizontal="center" vertical="center"/>
    </xf>
    <xf numFmtId="0" fontId="34" fillId="23" borderId="1" xfId="0" applyFont="1" applyFill="1" applyBorder="1" applyAlignment="1">
      <alignment horizontal="center" vertical="center" wrapText="1"/>
    </xf>
    <xf numFmtId="0" fontId="65" fillId="0" borderId="12" xfId="0" applyFont="1" applyBorder="1" applyAlignment="1">
      <alignment horizontal="center" wrapText="1"/>
    </xf>
    <xf numFmtId="44" fontId="31" fillId="0" borderId="1" xfId="1" applyFont="1" applyFill="1" applyBorder="1" applyAlignment="1"/>
    <xf numFmtId="0" fontId="31" fillId="0" borderId="1" xfId="1" quotePrefix="1" applyNumberFormat="1" applyFont="1" applyFill="1" applyBorder="1" applyAlignment="1">
      <alignment horizontal="center" vertical="center"/>
    </xf>
    <xf numFmtId="14" fontId="31" fillId="0" borderId="1" xfId="1" applyNumberFormat="1" applyFont="1" applyFill="1" applyBorder="1" applyAlignment="1"/>
    <xf numFmtId="44" fontId="31" fillId="0" borderId="1" xfId="1" applyFont="1" applyFill="1" applyBorder="1" applyAlignment="1">
      <alignment horizontal="center"/>
    </xf>
    <xf numFmtId="14" fontId="31" fillId="0" borderId="1" xfId="0" applyNumberFormat="1" applyFont="1" applyBorder="1" applyAlignment="1">
      <alignment horizontal="center"/>
    </xf>
    <xf numFmtId="1" fontId="31" fillId="0" borderId="1" xfId="0" applyNumberFormat="1" applyFont="1" applyBorder="1" applyAlignment="1">
      <alignment horizontal="center"/>
    </xf>
    <xf numFmtId="9" fontId="31" fillId="0" borderId="1" xfId="2" applyFont="1" applyFill="1" applyBorder="1" applyAlignment="1">
      <alignment horizontal="center"/>
    </xf>
    <xf numFmtId="44" fontId="31" fillId="0" borderId="2" xfId="1" applyFont="1" applyFill="1" applyBorder="1" applyAlignment="1">
      <alignment horizontal="center"/>
    </xf>
    <xf numFmtId="44" fontId="31" fillId="0" borderId="17" xfId="1" applyFont="1" applyFill="1" applyBorder="1" applyAlignment="1">
      <alignment horizontal="center"/>
    </xf>
    <xf numFmtId="0" fontId="31" fillId="21" borderId="0" xfId="0" applyFont="1" applyFill="1"/>
    <xf numFmtId="0" fontId="40" fillId="0" borderId="1" xfId="0" applyFont="1" applyBorder="1" applyAlignment="1">
      <alignment horizontal="center"/>
    </xf>
    <xf numFmtId="14" fontId="31" fillId="0" borderId="1" xfId="0" applyNumberFormat="1" applyFont="1" applyBorder="1"/>
    <xf numFmtId="44" fontId="31" fillId="0" borderId="1" xfId="1" applyFont="1" applyFill="1" applyBorder="1"/>
    <xf numFmtId="14" fontId="31" fillId="0" borderId="1" xfId="0" applyNumberFormat="1" applyFont="1" applyBorder="1" applyAlignment="1">
      <alignment vertical="center"/>
    </xf>
    <xf numFmtId="9" fontId="31" fillId="0" borderId="1" xfId="0" applyNumberFormat="1" applyFont="1" applyBorder="1" applyAlignment="1">
      <alignment horizontal="center"/>
    </xf>
    <xf numFmtId="44" fontId="31" fillId="0" borderId="2" xfId="1" applyFont="1" applyFill="1" applyBorder="1"/>
    <xf numFmtId="44" fontId="31" fillId="0" borderId="1" xfId="1" applyFont="1" applyBorder="1"/>
    <xf numFmtId="14" fontId="36" fillId="0" borderId="1" xfId="0" applyNumberFormat="1" applyFont="1" applyBorder="1"/>
    <xf numFmtId="44" fontId="36" fillId="0" borderId="1" xfId="1" applyFont="1" applyFill="1" applyBorder="1"/>
    <xf numFmtId="14" fontId="36" fillId="0" borderId="1" xfId="0" applyNumberFormat="1" applyFont="1" applyBorder="1" applyAlignment="1">
      <alignment vertical="center"/>
    </xf>
    <xf numFmtId="1" fontId="36" fillId="0" borderId="1" xfId="0" applyNumberFormat="1" applyFont="1" applyBorder="1" applyAlignment="1">
      <alignment horizontal="center"/>
    </xf>
    <xf numFmtId="44" fontId="36" fillId="0" borderId="2" xfId="1" applyFont="1" applyFill="1" applyBorder="1"/>
    <xf numFmtId="44" fontId="36" fillId="0" borderId="17" xfId="1" applyFont="1" applyFill="1" applyBorder="1" applyAlignment="1">
      <alignment horizontal="center"/>
    </xf>
    <xf numFmtId="0" fontId="31" fillId="9" borderId="1" xfId="0" applyFont="1" applyFill="1" applyBorder="1"/>
    <xf numFmtId="0" fontId="34" fillId="27" borderId="1" xfId="0" applyFont="1" applyFill="1" applyBorder="1" applyAlignment="1">
      <alignment horizontal="center" vertical="center" wrapText="1"/>
    </xf>
    <xf numFmtId="44" fontId="34" fillId="16" borderId="1" xfId="1" applyFont="1" applyFill="1" applyBorder="1" applyAlignment="1">
      <alignment vertical="center"/>
    </xf>
    <xf numFmtId="14" fontId="34" fillId="16" borderId="1" xfId="0" applyNumberFormat="1" applyFont="1" applyFill="1" applyBorder="1" applyAlignment="1">
      <alignment vertical="center"/>
    </xf>
    <xf numFmtId="1" fontId="34" fillId="16" borderId="1" xfId="0" applyNumberFormat="1" applyFont="1" applyFill="1" applyBorder="1" applyAlignment="1">
      <alignment horizontal="center" vertical="center"/>
    </xf>
    <xf numFmtId="14" fontId="40" fillId="0" borderId="1" xfId="0" applyNumberFormat="1" applyFont="1" applyBorder="1" applyAlignment="1">
      <alignment vertical="center"/>
    </xf>
    <xf numFmtId="1" fontId="40" fillId="0" borderId="1" xfId="0" applyNumberFormat="1" applyFont="1" applyBorder="1" applyAlignment="1">
      <alignment horizontal="center" vertical="center"/>
    </xf>
    <xf numFmtId="44" fontId="31" fillId="0" borderId="1" xfId="1" applyFont="1" applyBorder="1" applyAlignment="1">
      <alignment horizontal="center" vertical="center"/>
    </xf>
    <xf numFmtId="14" fontId="31" fillId="0" borderId="1" xfId="0" applyNumberFormat="1" applyFont="1" applyBorder="1" applyAlignment="1">
      <alignment wrapText="1"/>
    </xf>
    <xf numFmtId="1" fontId="31" fillId="0" borderId="1" xfId="0" applyNumberFormat="1" applyFont="1" applyBorder="1" applyAlignment="1">
      <alignment horizontal="center" wrapText="1"/>
    </xf>
    <xf numFmtId="0" fontId="65" fillId="0" borderId="66" xfId="0" applyFont="1" applyBorder="1" applyAlignment="1">
      <alignment horizontal="center" wrapText="1"/>
    </xf>
    <xf numFmtId="44" fontId="31" fillId="0" borderId="66" xfId="1" applyFont="1" applyBorder="1"/>
    <xf numFmtId="14" fontId="31" fillId="0" borderId="66" xfId="0" applyNumberFormat="1" applyFont="1" applyBorder="1"/>
    <xf numFmtId="44" fontId="31" fillId="0" borderId="66" xfId="1" applyFont="1" applyFill="1" applyBorder="1"/>
    <xf numFmtId="1" fontId="31" fillId="0" borderId="66" xfId="0" applyNumberFormat="1" applyFont="1" applyBorder="1" applyAlignment="1">
      <alignment horizontal="center"/>
    </xf>
    <xf numFmtId="9" fontId="31" fillId="0" borderId="66" xfId="2" applyFont="1" applyFill="1" applyBorder="1" applyAlignment="1">
      <alignment horizontal="center"/>
    </xf>
    <xf numFmtId="44" fontId="31" fillId="0" borderId="68" xfId="1" applyFont="1" applyFill="1" applyBorder="1"/>
    <xf numFmtId="44" fontId="31" fillId="0" borderId="67" xfId="1" applyFont="1" applyFill="1" applyBorder="1" applyAlignment="1">
      <alignment horizontal="center"/>
    </xf>
    <xf numFmtId="0" fontId="34" fillId="23" borderId="66" xfId="0" applyFont="1" applyFill="1" applyBorder="1" applyAlignment="1">
      <alignment horizontal="center" vertical="center" wrapText="1"/>
    </xf>
    <xf numFmtId="44" fontId="31" fillId="0" borderId="19" xfId="1" applyFont="1" applyBorder="1"/>
    <xf numFmtId="14" fontId="31" fillId="0" borderId="19" xfId="0" applyNumberFormat="1" applyFont="1" applyBorder="1"/>
    <xf numFmtId="44" fontId="31" fillId="0" borderId="19" xfId="1" applyFont="1" applyFill="1" applyBorder="1"/>
    <xf numFmtId="14" fontId="31" fillId="0" borderId="19" xfId="0" applyNumberFormat="1" applyFont="1" applyBorder="1" applyAlignment="1">
      <alignment vertical="center"/>
    </xf>
    <xf numFmtId="1" fontId="31" fillId="0" borderId="19" xfId="0" applyNumberFormat="1" applyFont="1" applyBorder="1" applyAlignment="1">
      <alignment horizontal="center"/>
    </xf>
    <xf numFmtId="9" fontId="31" fillId="0" borderId="19" xfId="0" applyNumberFormat="1" applyFont="1" applyBorder="1" applyAlignment="1">
      <alignment horizontal="center"/>
    </xf>
    <xf numFmtId="44" fontId="31" fillId="0" borderId="24" xfId="1" applyFont="1" applyFill="1" applyBorder="1"/>
    <xf numFmtId="44" fontId="31" fillId="0" borderId="21" xfId="1" applyFont="1" applyFill="1" applyBorder="1" applyAlignment="1">
      <alignment horizontal="center"/>
    </xf>
    <xf numFmtId="0" fontId="2" fillId="21" borderId="0" xfId="0" applyFont="1" applyFill="1"/>
    <xf numFmtId="8" fontId="15" fillId="22" borderId="29" xfId="1" applyNumberFormat="1" applyFont="1" applyFill="1" applyBorder="1" applyAlignment="1">
      <alignment horizontal="center" vertical="center"/>
    </xf>
    <xf numFmtId="14" fontId="19" fillId="22" borderId="1" xfId="0" applyNumberFormat="1" applyFont="1" applyFill="1" applyBorder="1" applyAlignment="1">
      <alignment horizontal="center" vertical="center"/>
    </xf>
    <xf numFmtId="0" fontId="15" fillId="22" borderId="30" xfId="0" applyFont="1" applyFill="1" applyBorder="1" applyAlignment="1">
      <alignment horizontal="center" vertical="center"/>
    </xf>
    <xf numFmtId="44" fontId="15" fillId="0" borderId="29" xfId="1" applyFont="1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44" fontId="15" fillId="22" borderId="29" xfId="1" applyFont="1" applyFill="1" applyBorder="1" applyAlignment="1">
      <alignment horizontal="center" vertical="center"/>
    </xf>
    <xf numFmtId="1" fontId="15" fillId="22" borderId="30" xfId="0" applyNumberFormat="1" applyFont="1" applyFill="1" applyBorder="1" applyAlignment="1">
      <alignment horizontal="center" vertical="center"/>
    </xf>
    <xf numFmtId="14" fontId="15" fillId="0" borderId="12" xfId="0" applyNumberFormat="1" applyFont="1" applyBorder="1" applyAlignment="1">
      <alignment horizontal="center" vertical="center"/>
    </xf>
    <xf numFmtId="2" fontId="15" fillId="0" borderId="30" xfId="0" applyNumberFormat="1" applyFont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8" fontId="15" fillId="22" borderId="16" xfId="1" applyNumberFormat="1" applyFont="1" applyFill="1" applyBorder="1" applyAlignment="1">
      <alignment horizontal="center" vertical="center"/>
    </xf>
    <xf numFmtId="14" fontId="15" fillId="22" borderId="1" xfId="0" applyNumberFormat="1" applyFont="1" applyFill="1" applyBorder="1" applyAlignment="1">
      <alignment horizontal="center" vertical="center"/>
    </xf>
    <xf numFmtId="0" fontId="15" fillId="22" borderId="17" xfId="0" applyFont="1" applyFill="1" applyBorder="1" applyAlignment="1">
      <alignment horizontal="center" vertical="center"/>
    </xf>
    <xf numFmtId="44" fontId="15" fillId="0" borderId="16" xfId="1" applyFont="1" applyFill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44" fontId="15" fillId="22" borderId="16" xfId="1" applyFont="1" applyFill="1" applyBorder="1" applyAlignment="1">
      <alignment horizontal="center" vertical="center"/>
    </xf>
    <xf numFmtId="1" fontId="15" fillId="22" borderId="17" xfId="0" applyNumberFormat="1" applyFont="1" applyFill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 wrapText="1"/>
    </xf>
    <xf numFmtId="2" fontId="80" fillId="0" borderId="17" xfId="0" applyNumberFormat="1" applyFont="1" applyBorder="1" applyAlignment="1">
      <alignment horizontal="center" vertical="center"/>
    </xf>
    <xf numFmtId="8" fontId="15" fillId="0" borderId="16" xfId="1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44" fontId="17" fillId="0" borderId="16" xfId="1" applyFont="1" applyFill="1" applyBorder="1" applyAlignment="1">
      <alignment horizontal="center" vertical="center"/>
    </xf>
    <xf numFmtId="1" fontId="17" fillId="22" borderId="17" xfId="0" applyNumberFormat="1" applyFont="1" applyFill="1" applyBorder="1" applyAlignment="1">
      <alignment horizontal="center" vertical="center"/>
    </xf>
    <xf numFmtId="44" fontId="18" fillId="0" borderId="16" xfId="1" applyFont="1" applyFill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44" fontId="16" fillId="0" borderId="16" xfId="1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49" fontId="15" fillId="22" borderId="17" xfId="0" applyNumberFormat="1" applyFont="1" applyFill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44" fontId="15" fillId="25" borderId="16" xfId="1" applyFont="1" applyFill="1" applyBorder="1" applyAlignment="1">
      <alignment horizontal="center" vertical="center"/>
    </xf>
    <xf numFmtId="14" fontId="15" fillId="25" borderId="1" xfId="0" applyNumberFormat="1" applyFont="1" applyFill="1" applyBorder="1" applyAlignment="1">
      <alignment horizontal="center" vertical="center"/>
    </xf>
    <xf numFmtId="0" fontId="15" fillId="25" borderId="17" xfId="0" applyFont="1" applyFill="1" applyBorder="1" applyAlignment="1">
      <alignment horizontal="center" vertical="center"/>
    </xf>
    <xf numFmtId="1" fontId="15" fillId="0" borderId="17" xfId="0" applyNumberFormat="1" applyFont="1" applyBorder="1" applyAlignment="1">
      <alignment horizontal="left" vertical="center"/>
    </xf>
    <xf numFmtId="44" fontId="15" fillId="0" borderId="65" xfId="1" applyFont="1" applyFill="1" applyBorder="1" applyAlignment="1">
      <alignment horizontal="center" vertical="center"/>
    </xf>
    <xf numFmtId="14" fontId="15" fillId="0" borderId="66" xfId="0" applyNumberFormat="1" applyFont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2" fontId="15" fillId="0" borderId="67" xfId="0" applyNumberFormat="1" applyFont="1" applyBorder="1" applyAlignment="1">
      <alignment horizontal="center" vertical="center"/>
    </xf>
    <xf numFmtId="1" fontId="15" fillId="0" borderId="67" xfId="0" applyNumberFormat="1" applyFont="1" applyBorder="1" applyAlignment="1">
      <alignment horizontal="center" vertical="center"/>
    </xf>
    <xf numFmtId="44" fontId="15" fillId="25" borderId="65" xfId="1" applyFont="1" applyFill="1" applyBorder="1" applyAlignment="1">
      <alignment horizontal="center" vertical="center"/>
    </xf>
    <xf numFmtId="14" fontId="15" fillId="25" borderId="66" xfId="0" applyNumberFormat="1" applyFont="1" applyFill="1" applyBorder="1" applyAlignment="1">
      <alignment horizontal="center" vertical="center"/>
    </xf>
    <xf numFmtId="0" fontId="15" fillId="25" borderId="67" xfId="0" applyFont="1" applyFill="1" applyBorder="1" applyAlignment="1">
      <alignment horizontal="center" vertical="center"/>
    </xf>
    <xf numFmtId="44" fontId="15" fillId="22" borderId="65" xfId="1" applyFont="1" applyFill="1" applyBorder="1" applyAlignment="1">
      <alignment horizontal="center" vertical="center"/>
    </xf>
    <xf numFmtId="14" fontId="15" fillId="22" borderId="66" xfId="0" applyNumberFormat="1" applyFont="1" applyFill="1" applyBorder="1" applyAlignment="1">
      <alignment horizontal="center" vertical="center"/>
    </xf>
    <xf numFmtId="1" fontId="15" fillId="22" borderId="67" xfId="0" applyNumberFormat="1" applyFont="1" applyFill="1" applyBorder="1" applyAlignment="1">
      <alignment horizontal="center" vertical="center"/>
    </xf>
    <xf numFmtId="2" fontId="80" fillId="0" borderId="67" xfId="0" applyNumberFormat="1" applyFont="1" applyBorder="1" applyAlignment="1">
      <alignment horizontal="center" vertical="center"/>
    </xf>
    <xf numFmtId="44" fontId="17" fillId="0" borderId="65" xfId="1" applyFont="1" applyFill="1" applyBorder="1" applyAlignment="1">
      <alignment horizontal="center" vertical="center"/>
    </xf>
    <xf numFmtId="14" fontId="17" fillId="0" borderId="66" xfId="0" applyNumberFormat="1" applyFont="1" applyBorder="1" applyAlignment="1">
      <alignment horizontal="center" vertical="center"/>
    </xf>
    <xf numFmtId="44" fontId="15" fillId="0" borderId="18" xfId="1" applyFont="1" applyFill="1" applyBorder="1" applyAlignment="1">
      <alignment horizontal="center" vertical="center"/>
    </xf>
    <xf numFmtId="14" fontId="15" fillId="0" borderId="19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center" vertical="center"/>
    </xf>
    <xf numFmtId="2" fontId="15" fillId="0" borderId="21" xfId="0" applyNumberFormat="1" applyFont="1" applyBorder="1" applyAlignment="1">
      <alignment horizontal="center" vertical="center"/>
    </xf>
    <xf numFmtId="44" fontId="15" fillId="0" borderId="0" xfId="1" applyFont="1" applyFill="1" applyBorder="1" applyAlignment="1">
      <alignment horizontal="center" vertical="center"/>
    </xf>
    <xf numFmtId="0" fontId="2" fillId="0" borderId="1" xfId="0" applyFont="1" applyBorder="1"/>
    <xf numFmtId="0" fontId="31" fillId="0" borderId="34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0" fontId="34" fillId="0" borderId="15" xfId="0" applyFont="1" applyBorder="1" applyAlignment="1">
      <alignment horizontal="center" vertical="center" wrapText="1"/>
    </xf>
    <xf numFmtId="0" fontId="65" fillId="0" borderId="15" xfId="0" applyFont="1" applyBorder="1" applyAlignment="1">
      <alignment horizontal="center" wrapText="1"/>
    </xf>
    <xf numFmtId="14" fontId="31" fillId="0" borderId="3" xfId="1" applyNumberFormat="1" applyFont="1" applyFill="1" applyBorder="1" applyAlignment="1">
      <alignment horizontal="center" vertical="center"/>
    </xf>
    <xf numFmtId="44" fontId="31" fillId="0" borderId="33" xfId="1" applyFont="1" applyFill="1" applyBorder="1" applyAlignment="1">
      <alignment horizontal="center" vertical="center"/>
    </xf>
    <xf numFmtId="44" fontId="31" fillId="0" borderId="20" xfId="1" applyFont="1" applyFill="1" applyBorder="1" applyAlignment="1">
      <alignment horizontal="center" vertical="center"/>
    </xf>
    <xf numFmtId="44" fontId="2" fillId="0" borderId="0" xfId="1" applyFont="1" applyFill="1"/>
    <xf numFmtId="44" fontId="2" fillId="0" borderId="0" xfId="0" applyNumberFormat="1" applyFont="1"/>
    <xf numFmtId="0" fontId="2" fillId="5" borderId="1" xfId="0" applyFont="1" applyFill="1" applyBorder="1" applyAlignment="1">
      <alignment wrapText="1"/>
    </xf>
    <xf numFmtId="0" fontId="31" fillId="5" borderId="3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 vertical="center" wrapText="1"/>
    </xf>
    <xf numFmtId="0" fontId="65" fillId="5" borderId="1" xfId="0" applyFont="1" applyFill="1" applyBorder="1" applyAlignment="1">
      <alignment horizontal="center" wrapText="1"/>
    </xf>
    <xf numFmtId="44" fontId="31" fillId="5" borderId="2" xfId="1" applyFont="1" applyFill="1" applyBorder="1" applyAlignment="1">
      <alignment horizontal="center" vertical="center"/>
    </xf>
    <xf numFmtId="1" fontId="31" fillId="5" borderId="1" xfId="1" quotePrefix="1" applyNumberFormat="1" applyFont="1" applyFill="1" applyBorder="1" applyAlignment="1">
      <alignment horizontal="center" vertical="center"/>
    </xf>
    <xf numFmtId="14" fontId="31" fillId="5" borderId="3" xfId="1" applyNumberFormat="1" applyFont="1" applyFill="1" applyBorder="1" applyAlignment="1">
      <alignment horizontal="center" vertical="center"/>
    </xf>
    <xf numFmtId="44" fontId="31" fillId="5" borderId="1" xfId="1" applyFont="1" applyFill="1" applyBorder="1" applyAlignment="1">
      <alignment horizontal="center" vertical="center"/>
    </xf>
    <xf numFmtId="14" fontId="31" fillId="5" borderId="1" xfId="0" applyNumberFormat="1" applyFont="1" applyFill="1" applyBorder="1" applyAlignment="1">
      <alignment horizontal="center" vertical="center"/>
    </xf>
    <xf numFmtId="1" fontId="31" fillId="5" borderId="1" xfId="1" applyNumberFormat="1" applyFont="1" applyFill="1" applyBorder="1" applyAlignment="1">
      <alignment horizontal="center" vertical="center"/>
    </xf>
    <xf numFmtId="1" fontId="31" fillId="5" borderId="1" xfId="0" quotePrefix="1" applyNumberFormat="1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44" fontId="31" fillId="5" borderId="17" xfId="1" applyFont="1" applyFill="1" applyBorder="1" applyAlignment="1">
      <alignment horizontal="center" vertical="center"/>
    </xf>
    <xf numFmtId="0" fontId="2" fillId="5" borderId="0" xfId="0" applyFont="1" applyFill="1"/>
    <xf numFmtId="14" fontId="31" fillId="0" borderId="3" xfId="0" applyNumberFormat="1" applyFont="1" applyBorder="1" applyAlignment="1">
      <alignment horizontal="center" vertical="center"/>
    </xf>
    <xf numFmtId="0" fontId="81" fillId="0" borderId="1" xfId="0" applyFont="1" applyBorder="1"/>
    <xf numFmtId="14" fontId="36" fillId="0" borderId="3" xfId="0" applyNumberFormat="1" applyFont="1" applyBorder="1" applyAlignment="1">
      <alignment horizontal="center" vertical="center"/>
    </xf>
    <xf numFmtId="0" fontId="81" fillId="0" borderId="0" xfId="0" applyFont="1"/>
    <xf numFmtId="1" fontId="31" fillId="0" borderId="39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8" fontId="31" fillId="0" borderId="29" xfId="1" applyNumberFormat="1" applyFont="1" applyFill="1" applyBorder="1" applyAlignment="1">
      <alignment horizontal="center" vertical="center"/>
    </xf>
    <xf numFmtId="0" fontId="82" fillId="0" borderId="15" xfId="0" applyFont="1" applyBorder="1" applyAlignment="1">
      <alignment horizontal="center" vertical="center" wrapText="1"/>
    </xf>
    <xf numFmtId="0" fontId="53" fillId="0" borderId="15" xfId="0" applyFont="1" applyBorder="1" applyAlignment="1">
      <alignment horizontal="center" vertical="center" wrapText="1"/>
    </xf>
    <xf numFmtId="1" fontId="36" fillId="22" borderId="17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0" fontId="3" fillId="3" borderId="37" xfId="0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83" fillId="0" borderId="3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49" fillId="23" borderId="1" xfId="0" applyFont="1" applyFill="1" applyBorder="1" applyAlignment="1">
      <alignment horizontal="center" vertical="center" wrapText="1"/>
    </xf>
    <xf numFmtId="0" fontId="84" fillId="0" borderId="12" xfId="0" applyFont="1" applyBorder="1" applyAlignment="1">
      <alignment horizontal="center" vertical="center" wrapText="1"/>
    </xf>
    <xf numFmtId="44" fontId="83" fillId="0" borderId="12" xfId="1" applyFont="1" applyFill="1" applyBorder="1" applyAlignment="1">
      <alignment horizontal="center" vertical="center"/>
    </xf>
    <xf numFmtId="0" fontId="83" fillId="0" borderId="12" xfId="1" applyNumberFormat="1" applyFont="1" applyFill="1" applyBorder="1" applyAlignment="1">
      <alignment horizontal="center" vertical="center"/>
    </xf>
    <xf numFmtId="14" fontId="83" fillId="0" borderId="12" xfId="1" applyNumberFormat="1" applyFont="1" applyFill="1" applyBorder="1" applyAlignment="1">
      <alignment horizontal="center" vertical="center"/>
    </xf>
    <xf numFmtId="44" fontId="83" fillId="0" borderId="1" xfId="1" applyFont="1" applyFill="1" applyBorder="1" applyAlignment="1">
      <alignment horizontal="center" vertical="center"/>
    </xf>
    <xf numFmtId="14" fontId="83" fillId="0" borderId="1" xfId="0" applyNumberFormat="1" applyFont="1" applyBorder="1" applyAlignment="1">
      <alignment horizontal="center" vertical="center"/>
    </xf>
    <xf numFmtId="1" fontId="83" fillId="0" borderId="1" xfId="0" applyNumberFormat="1" applyFont="1" applyBorder="1" applyAlignment="1">
      <alignment horizontal="center" vertical="center"/>
    </xf>
    <xf numFmtId="9" fontId="83" fillId="0" borderId="1" xfId="2" applyFont="1" applyFill="1" applyBorder="1" applyAlignment="1">
      <alignment horizontal="center" vertical="center"/>
    </xf>
    <xf numFmtId="44" fontId="83" fillId="0" borderId="2" xfId="1" applyFont="1" applyFill="1" applyBorder="1" applyAlignment="1">
      <alignment horizontal="center" vertical="center"/>
    </xf>
    <xf numFmtId="44" fontId="83" fillId="0" borderId="17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83" fillId="0" borderId="3" xfId="0" applyFont="1" applyBorder="1" applyAlignment="1">
      <alignment horizontal="center"/>
    </xf>
    <xf numFmtId="0" fontId="83" fillId="0" borderId="1" xfId="0" applyFont="1" applyBorder="1" applyAlignment="1">
      <alignment horizontal="center"/>
    </xf>
    <xf numFmtId="0" fontId="83" fillId="0" borderId="1" xfId="1" quotePrefix="1" applyNumberFormat="1" applyFont="1" applyFill="1" applyBorder="1" applyAlignment="1">
      <alignment horizontal="center" vertical="center"/>
    </xf>
    <xf numFmtId="14" fontId="83" fillId="0" borderId="1" xfId="1" applyNumberFormat="1" applyFont="1" applyFill="1" applyBorder="1" applyAlignment="1">
      <alignment horizontal="center" vertical="center"/>
    </xf>
    <xf numFmtId="0" fontId="49" fillId="0" borderId="1" xfId="0" applyFont="1" applyBorder="1" applyAlignment="1">
      <alignment horizontal="center" vertical="center" wrapText="1"/>
    </xf>
    <xf numFmtId="0" fontId="83" fillId="0" borderId="1" xfId="0" quotePrefix="1" applyFont="1" applyBorder="1" applyAlignment="1">
      <alignment horizontal="center" vertical="center"/>
    </xf>
    <xf numFmtId="0" fontId="83" fillId="0" borderId="1" xfId="1" applyNumberFormat="1" applyFont="1" applyFill="1" applyBorder="1" applyAlignment="1">
      <alignment horizontal="center" vertical="center"/>
    </xf>
    <xf numFmtId="0" fontId="83" fillId="0" borderId="64" xfId="0" applyFont="1" applyBorder="1" applyAlignment="1">
      <alignment horizontal="center"/>
    </xf>
    <xf numFmtId="0" fontId="49" fillId="0" borderId="64" xfId="0" applyFont="1" applyBorder="1" applyAlignment="1">
      <alignment horizontal="center" vertical="center" wrapText="1"/>
    </xf>
    <xf numFmtId="0" fontId="84" fillId="0" borderId="64" xfId="0" applyFont="1" applyBorder="1" applyAlignment="1">
      <alignment horizontal="center" vertical="center" wrapText="1"/>
    </xf>
    <xf numFmtId="9" fontId="83" fillId="0" borderId="1" xfId="0" applyNumberFormat="1" applyFont="1" applyBorder="1" applyAlignment="1">
      <alignment horizontal="center" vertical="center"/>
    </xf>
    <xf numFmtId="1" fontId="85" fillId="0" borderId="1" xfId="0" applyNumberFormat="1" applyFont="1" applyBorder="1" applyAlignment="1">
      <alignment horizontal="center" vertical="center"/>
    </xf>
    <xf numFmtId="0" fontId="85" fillId="0" borderId="1" xfId="0" applyFont="1" applyBorder="1"/>
    <xf numFmtId="44" fontId="85" fillId="0" borderId="1" xfId="1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14" fontId="85" fillId="0" borderId="1" xfId="0" applyNumberFormat="1" applyFont="1" applyBorder="1" applyAlignment="1">
      <alignment horizontal="center" vertical="center"/>
    </xf>
    <xf numFmtId="44" fontId="85" fillId="0" borderId="2" xfId="1" applyFont="1" applyFill="1" applyBorder="1" applyAlignment="1">
      <alignment horizontal="center" vertical="center"/>
    </xf>
    <xf numFmtId="44" fontId="85" fillId="0" borderId="17" xfId="1" applyFont="1" applyFill="1" applyBorder="1" applyAlignment="1">
      <alignment horizontal="center" vertical="center"/>
    </xf>
    <xf numFmtId="1" fontId="81" fillId="0" borderId="0" xfId="0" applyNumberFormat="1" applyFont="1"/>
    <xf numFmtId="14" fontId="83" fillId="0" borderId="1" xfId="0" applyNumberFormat="1" applyFont="1" applyBorder="1" applyAlignment="1">
      <alignment horizontal="center" vertical="center" wrapText="1"/>
    </xf>
    <xf numFmtId="1" fontId="83" fillId="0" borderId="1" xfId="0" applyNumberFormat="1" applyFont="1" applyBorder="1" applyAlignment="1">
      <alignment horizontal="center" vertical="center" wrapText="1"/>
    </xf>
    <xf numFmtId="0" fontId="83" fillId="0" borderId="1" xfId="1" applyNumberFormat="1" applyFont="1" applyBorder="1" applyAlignment="1">
      <alignment horizontal="center" vertical="center"/>
    </xf>
    <xf numFmtId="0" fontId="83" fillId="0" borderId="66" xfId="0" applyFont="1" applyBorder="1" applyAlignment="1">
      <alignment horizontal="center"/>
    </xf>
    <xf numFmtId="0" fontId="49" fillId="0" borderId="66" xfId="0" applyFont="1" applyBorder="1" applyAlignment="1">
      <alignment horizontal="center" vertical="center" wrapText="1"/>
    </xf>
    <xf numFmtId="0" fontId="84" fillId="0" borderId="1" xfId="0" applyFont="1" applyBorder="1" applyAlignment="1">
      <alignment horizontal="center" vertical="center" wrapText="1"/>
    </xf>
    <xf numFmtId="44" fontId="83" fillId="0" borderId="66" xfId="1" applyFont="1" applyFill="1" applyBorder="1" applyAlignment="1">
      <alignment horizontal="center" vertical="center"/>
    </xf>
    <xf numFmtId="0" fontId="83" fillId="0" borderId="66" xfId="0" applyFont="1" applyBorder="1" applyAlignment="1">
      <alignment horizontal="center" vertical="center"/>
    </xf>
    <xf numFmtId="14" fontId="83" fillId="0" borderId="66" xfId="0" applyNumberFormat="1" applyFont="1" applyBorder="1" applyAlignment="1">
      <alignment horizontal="center" vertical="center"/>
    </xf>
    <xf numFmtId="1" fontId="83" fillId="0" borderId="66" xfId="0" applyNumberFormat="1" applyFont="1" applyBorder="1" applyAlignment="1">
      <alignment horizontal="center" vertical="center"/>
    </xf>
    <xf numFmtId="9" fontId="83" fillId="0" borderId="66" xfId="2" applyFont="1" applyFill="1" applyBorder="1" applyAlignment="1">
      <alignment horizontal="center" vertical="center"/>
    </xf>
    <xf numFmtId="44" fontId="83" fillId="0" borderId="68" xfId="1" applyFont="1" applyFill="1" applyBorder="1" applyAlignment="1">
      <alignment horizontal="center" vertical="center"/>
    </xf>
    <xf numFmtId="44" fontId="83" fillId="0" borderId="67" xfId="1" applyFont="1" applyFill="1" applyBorder="1" applyAlignment="1">
      <alignment horizontal="center" vertical="center"/>
    </xf>
    <xf numFmtId="0" fontId="49" fillId="23" borderId="66" xfId="0" applyFont="1" applyFill="1" applyBorder="1" applyAlignment="1">
      <alignment horizontal="center" vertical="center" wrapText="1"/>
    </xf>
    <xf numFmtId="0" fontId="83" fillId="0" borderId="19" xfId="0" applyFont="1" applyBorder="1" applyAlignment="1">
      <alignment horizontal="center"/>
    </xf>
    <xf numFmtId="0" fontId="49" fillId="0" borderId="19" xfId="0" applyFont="1" applyBorder="1" applyAlignment="1">
      <alignment horizontal="center" vertical="center" wrapText="1"/>
    </xf>
    <xf numFmtId="44" fontId="83" fillId="0" borderId="1" xfId="1" applyFont="1" applyFill="1" applyBorder="1" applyAlignment="1"/>
    <xf numFmtId="44" fontId="83" fillId="0" borderId="19" xfId="1" applyFont="1" applyFill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14" fontId="83" fillId="0" borderId="19" xfId="0" applyNumberFormat="1" applyFont="1" applyBorder="1" applyAlignment="1">
      <alignment horizontal="center" vertical="center"/>
    </xf>
    <xf numFmtId="1" fontId="83" fillId="0" borderId="19" xfId="0" applyNumberFormat="1" applyFont="1" applyBorder="1" applyAlignment="1">
      <alignment horizontal="center" vertical="center"/>
    </xf>
    <xf numFmtId="9" fontId="83" fillId="0" borderId="19" xfId="0" applyNumberFormat="1" applyFont="1" applyBorder="1" applyAlignment="1">
      <alignment horizontal="center" vertical="center"/>
    </xf>
    <xf numFmtId="44" fontId="83" fillId="0" borderId="24" xfId="1" applyFont="1" applyFill="1" applyBorder="1" applyAlignment="1">
      <alignment horizontal="center" vertical="center"/>
    </xf>
    <xf numFmtId="44" fontId="83" fillId="0" borderId="21" xfId="1" applyFont="1" applyFill="1" applyBorder="1" applyAlignment="1">
      <alignment horizontal="center" vertical="center"/>
    </xf>
    <xf numFmtId="1" fontId="3" fillId="15" borderId="11" xfId="0" applyNumberFormat="1" applyFont="1" applyFill="1" applyBorder="1" applyAlignment="1">
      <alignment horizontal="center" vertical="center"/>
    </xf>
    <xf numFmtId="1" fontId="15" fillId="0" borderId="17" xfId="0" quotePrefix="1" applyNumberFormat="1" applyFont="1" applyBorder="1" applyAlignment="1">
      <alignment horizontal="center" vertical="center"/>
    </xf>
    <xf numFmtId="8" fontId="17" fillId="22" borderId="16" xfId="1" applyNumberFormat="1" applyFont="1" applyFill="1" applyBorder="1" applyAlignment="1">
      <alignment horizontal="center" vertical="center"/>
    </xf>
    <xf numFmtId="14" fontId="17" fillId="22" borderId="1" xfId="0" applyNumberFormat="1" applyFont="1" applyFill="1" applyBorder="1" applyAlignment="1">
      <alignment horizontal="center" vertical="center"/>
    </xf>
    <xf numFmtId="0" fontId="17" fillId="22" borderId="17" xfId="0" applyFont="1" applyFill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 vertical="center"/>
    </xf>
    <xf numFmtId="44" fontId="17" fillId="22" borderId="16" xfId="1" applyFont="1" applyFill="1" applyBorder="1" applyAlignment="1">
      <alignment horizontal="center" vertical="center"/>
    </xf>
    <xf numFmtId="0" fontId="86" fillId="23" borderId="1" xfId="0" applyFont="1" applyFill="1" applyBorder="1" applyAlignment="1">
      <alignment horizontal="center" vertical="center" wrapText="1"/>
    </xf>
    <xf numFmtId="2" fontId="15" fillId="22" borderId="17" xfId="0" applyNumberFormat="1" applyFont="1" applyFill="1" applyBorder="1" applyAlignment="1">
      <alignment horizontal="center" vertical="center"/>
    </xf>
    <xf numFmtId="0" fontId="15" fillId="22" borderId="67" xfId="0" applyFont="1" applyFill="1" applyBorder="1" applyAlignment="1">
      <alignment horizontal="center" vertical="center"/>
    </xf>
    <xf numFmtId="0" fontId="15" fillId="0" borderId="65" xfId="1" applyNumberFormat="1" applyFont="1" applyFill="1" applyBorder="1" applyAlignment="1">
      <alignment horizontal="center" vertical="center"/>
    </xf>
    <xf numFmtId="0" fontId="49" fillId="0" borderId="68" xfId="0" applyFont="1" applyBorder="1" applyAlignment="1">
      <alignment horizontal="center" vertical="center" wrapText="1"/>
    </xf>
    <xf numFmtId="0" fontId="49" fillId="23" borderId="68" xfId="0" applyFont="1" applyFill="1" applyBorder="1" applyAlignment="1">
      <alignment horizontal="center" vertical="center" wrapText="1"/>
    </xf>
    <xf numFmtId="0" fontId="15" fillId="0" borderId="18" xfId="1" applyNumberFormat="1" applyFont="1" applyFill="1" applyBorder="1" applyAlignment="1">
      <alignment horizontal="center" vertical="center"/>
    </xf>
    <xf numFmtId="0" fontId="87" fillId="0" borderId="1" xfId="0" applyFont="1" applyBorder="1" applyAlignment="1">
      <alignment horizontal="center" vertical="center" wrapText="1"/>
    </xf>
    <xf numFmtId="0" fontId="89" fillId="17" borderId="1" xfId="0" applyFont="1" applyFill="1" applyBorder="1"/>
    <xf numFmtId="0" fontId="89" fillId="17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0" xfId="0" applyFont="1" applyFill="1"/>
    <xf numFmtId="0" fontId="12" fillId="18" borderId="1" xfId="0" applyFont="1" applyFill="1" applyBorder="1" applyAlignment="1">
      <alignment horizontal="center"/>
    </xf>
    <xf numFmtId="0" fontId="12" fillId="18" borderId="1" xfId="0" applyFont="1" applyFill="1" applyBorder="1"/>
    <xf numFmtId="0" fontId="12" fillId="21" borderId="1" xfId="0" applyFont="1" applyFill="1" applyBorder="1" applyAlignment="1">
      <alignment horizontal="center"/>
    </xf>
    <xf numFmtId="44" fontId="12" fillId="18" borderId="1" xfId="1" applyFont="1" applyFill="1" applyBorder="1" applyAlignment="1">
      <alignment horizontal="left" vertical="center"/>
    </xf>
    <xf numFmtId="0" fontId="12" fillId="18" borderId="64" xfId="0" applyFont="1" applyFill="1" applyBorder="1" applyAlignment="1">
      <alignment horizontal="center"/>
    </xf>
    <xf numFmtId="0" fontId="12" fillId="18" borderId="64" xfId="0" applyFont="1" applyFill="1" applyBorder="1"/>
    <xf numFmtId="0" fontId="12" fillId="0" borderId="1" xfId="0" applyFont="1" applyBorder="1" applyAlignment="1">
      <alignment horizontal="center"/>
    </xf>
    <xf numFmtId="0" fontId="12" fillId="18" borderId="0" xfId="0" applyFont="1" applyFill="1" applyAlignment="1">
      <alignment horizontal="center"/>
    </xf>
    <xf numFmtId="0" fontId="12" fillId="18" borderId="0" xfId="0" applyFont="1" applyFill="1"/>
    <xf numFmtId="0" fontId="12" fillId="17" borderId="1" xfId="0" applyFont="1" applyFill="1" applyBorder="1"/>
    <xf numFmtId="0" fontId="12" fillId="1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1" xfId="0" applyFont="1" applyBorder="1"/>
    <xf numFmtId="44" fontId="12" fillId="0" borderId="1" xfId="1" applyFont="1" applyBorder="1"/>
    <xf numFmtId="0" fontId="2" fillId="0" borderId="0" xfId="0" applyFont="1" applyAlignment="1">
      <alignment horizontal="center"/>
    </xf>
    <xf numFmtId="0" fontId="2" fillId="22" borderId="1" xfId="0" applyFont="1" applyFill="1" applyBorder="1"/>
    <xf numFmtId="0" fontId="2" fillId="22" borderId="1" xfId="0" applyFont="1" applyFill="1" applyBorder="1" applyAlignment="1">
      <alignment horizontal="center"/>
    </xf>
    <xf numFmtId="0" fontId="89" fillId="0" borderId="1" xfId="0" applyFont="1" applyBorder="1"/>
    <xf numFmtId="0" fontId="15" fillId="0" borderId="1" xfId="1" applyNumberFormat="1" applyFont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44" fontId="12" fillId="0" borderId="1" xfId="1" applyFont="1" applyFill="1" applyBorder="1"/>
    <xf numFmtId="0" fontId="2" fillId="23" borderId="1" xfId="0" applyFont="1" applyFill="1" applyBorder="1" applyAlignment="1">
      <alignment horizontal="center"/>
    </xf>
    <xf numFmtId="0" fontId="12" fillId="0" borderId="0" xfId="0" applyFont="1"/>
    <xf numFmtId="0" fontId="2" fillId="0" borderId="1" xfId="0" applyFont="1" applyBorder="1" applyAlignment="1">
      <alignment horizontal="center" vertical="center"/>
    </xf>
    <xf numFmtId="44" fontId="2" fillId="0" borderId="1" xfId="1" applyFont="1" applyBorder="1"/>
    <xf numFmtId="44" fontId="2" fillId="0" borderId="0" xfId="1" applyFont="1"/>
    <xf numFmtId="0" fontId="36" fillId="0" borderId="3" xfId="0" applyFont="1" applyBorder="1" applyAlignment="1">
      <alignment horizontal="center" vertical="center"/>
    </xf>
    <xf numFmtId="44" fontId="35" fillId="0" borderId="16" xfId="1" applyFont="1" applyFill="1" applyBorder="1" applyAlignment="1">
      <alignment horizontal="center" vertical="center"/>
    </xf>
    <xf numFmtId="49" fontId="35" fillId="0" borderId="17" xfId="0" applyNumberFormat="1" applyFont="1" applyBorder="1" applyAlignment="1">
      <alignment horizontal="center" vertical="center"/>
    </xf>
    <xf numFmtId="0" fontId="90" fillId="13" borderId="1" xfId="0" applyFont="1" applyFill="1" applyBorder="1" applyAlignment="1">
      <alignment horizontal="center" vertical="center"/>
    </xf>
    <xf numFmtId="0" fontId="91" fillId="13" borderId="3" xfId="0" applyFont="1" applyFill="1" applyBorder="1" applyAlignment="1">
      <alignment horizontal="center"/>
    </xf>
    <xf numFmtId="0" fontId="91" fillId="13" borderId="1" xfId="0" applyFont="1" applyFill="1" applyBorder="1" applyAlignment="1">
      <alignment horizontal="center"/>
    </xf>
    <xf numFmtId="0" fontId="78" fillId="13" borderId="1" xfId="0" applyFont="1" applyFill="1" applyBorder="1" applyAlignment="1">
      <alignment horizontal="center" vertical="center" wrapText="1"/>
    </xf>
    <xf numFmtId="0" fontId="92" fillId="13" borderId="1" xfId="0" applyFont="1" applyFill="1" applyBorder="1" applyAlignment="1">
      <alignment horizontal="center" wrapText="1"/>
    </xf>
    <xf numFmtId="44" fontId="78" fillId="13" borderId="1" xfId="1" applyFont="1" applyFill="1" applyBorder="1" applyAlignment="1">
      <alignment horizontal="center"/>
    </xf>
    <xf numFmtId="44" fontId="91" fillId="13" borderId="1" xfId="1" applyFont="1" applyFill="1" applyBorder="1" applyAlignment="1">
      <alignment horizontal="center" vertical="center"/>
    </xf>
    <xf numFmtId="14" fontId="91" fillId="13" borderId="1" xfId="0" applyNumberFormat="1" applyFont="1" applyFill="1" applyBorder="1" applyAlignment="1">
      <alignment horizontal="center" vertical="center"/>
    </xf>
    <xf numFmtId="1" fontId="91" fillId="13" borderId="1" xfId="0" quotePrefix="1" applyNumberFormat="1" applyFont="1" applyFill="1" applyBorder="1" applyAlignment="1">
      <alignment horizontal="center" vertical="center"/>
    </xf>
    <xf numFmtId="44" fontId="91" fillId="13" borderId="1" xfId="1" applyFont="1" applyFill="1" applyBorder="1"/>
    <xf numFmtId="14" fontId="91" fillId="13" borderId="1" xfId="0" applyNumberFormat="1" applyFont="1" applyFill="1" applyBorder="1"/>
    <xf numFmtId="1" fontId="91" fillId="13" borderId="1" xfId="0" applyNumberFormat="1" applyFont="1" applyFill="1" applyBorder="1" applyAlignment="1">
      <alignment horizontal="center"/>
    </xf>
    <xf numFmtId="14" fontId="91" fillId="13" borderId="1" xfId="0" applyNumberFormat="1" applyFont="1" applyFill="1" applyBorder="1" applyAlignment="1">
      <alignment horizontal="center"/>
    </xf>
    <xf numFmtId="9" fontId="91" fillId="13" borderId="1" xfId="0" applyNumberFormat="1" applyFont="1" applyFill="1" applyBorder="1" applyAlignment="1">
      <alignment horizontal="center"/>
    </xf>
    <xf numFmtId="44" fontId="91" fillId="13" borderId="2" xfId="1" applyFont="1" applyFill="1" applyBorder="1"/>
    <xf numFmtId="44" fontId="91" fillId="13" borderId="17" xfId="1" applyFont="1" applyFill="1" applyBorder="1" applyAlignment="1">
      <alignment horizontal="center"/>
    </xf>
    <xf numFmtId="0" fontId="90" fillId="13" borderId="0" xfId="0" applyFont="1" applyFill="1"/>
    <xf numFmtId="0" fontId="93" fillId="0" borderId="1" xfId="0" applyFont="1" applyBorder="1" applyAlignment="1">
      <alignment horizontal="center" vertical="center"/>
    </xf>
    <xf numFmtId="0" fontId="73" fillId="0" borderId="3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44" fontId="59" fillId="0" borderId="16" xfId="1" applyFont="1" applyFill="1" applyBorder="1" applyAlignment="1">
      <alignment horizontal="center" vertical="center"/>
    </xf>
    <xf numFmtId="14" fontId="59" fillId="0" borderId="1" xfId="0" applyNumberFormat="1" applyFont="1" applyBorder="1" applyAlignment="1">
      <alignment horizontal="center" vertical="center"/>
    </xf>
    <xf numFmtId="2" fontId="59" fillId="0" borderId="17" xfId="0" applyNumberFormat="1" applyFont="1" applyBorder="1" applyAlignment="1">
      <alignment horizontal="center" vertical="center"/>
    </xf>
    <xf numFmtId="0" fontId="93" fillId="0" borderId="0" xfId="0" applyFont="1"/>
    <xf numFmtId="1" fontId="88" fillId="0" borderId="17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horizontal="center" vertical="center" wrapText="1"/>
    </xf>
    <xf numFmtId="0" fontId="95" fillId="0" borderId="0" xfId="0" applyFont="1"/>
    <xf numFmtId="0" fontId="41" fillId="0" borderId="28" xfId="0" applyFont="1" applyBorder="1" applyAlignment="1">
      <alignment horizontal="center" vertical="center" wrapText="1"/>
    </xf>
    <xf numFmtId="44" fontId="17" fillId="0" borderId="29" xfId="1" applyFont="1" applyFill="1" applyBorder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1" fontId="31" fillId="0" borderId="1" xfId="1" quotePrefix="1" applyNumberFormat="1" applyFont="1" applyFill="1" applyBorder="1" applyAlignment="1">
      <alignment horizontal="center" vertical="center" wrapText="1"/>
    </xf>
    <xf numFmtId="9" fontId="36" fillId="0" borderId="1" xfId="2" applyFont="1" applyFill="1" applyBorder="1" applyAlignment="1">
      <alignment horizontal="center" vertical="center"/>
    </xf>
    <xf numFmtId="0" fontId="34" fillId="28" borderId="1" xfId="0" applyFont="1" applyFill="1" applyBorder="1" applyAlignment="1">
      <alignment horizontal="center" vertical="center" wrapText="1"/>
    </xf>
    <xf numFmtId="44" fontId="31" fillId="0" borderId="66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96" fillId="0" borderId="19" xfId="0" applyFont="1" applyBorder="1" applyAlignment="1">
      <alignment horizontal="center" wrapText="1"/>
    </xf>
    <xf numFmtId="0" fontId="15" fillId="0" borderId="19" xfId="0" applyFont="1" applyBorder="1" applyAlignment="1">
      <alignment horizontal="center" vertical="center"/>
    </xf>
    <xf numFmtId="1" fontId="15" fillId="0" borderId="19" xfId="0" applyNumberFormat="1" applyFont="1" applyBorder="1" applyAlignment="1">
      <alignment horizontal="center" vertical="center"/>
    </xf>
    <xf numFmtId="44" fontId="15" fillId="0" borderId="19" xfId="1" applyFont="1" applyFill="1" applyBorder="1" applyAlignment="1">
      <alignment horizontal="center" vertical="center"/>
    </xf>
    <xf numFmtId="9" fontId="15" fillId="0" borderId="19" xfId="0" applyNumberFormat="1" applyFont="1" applyBorder="1" applyAlignment="1">
      <alignment horizontal="center" vertical="center"/>
    </xf>
    <xf numFmtId="44" fontId="15" fillId="0" borderId="24" xfId="1" applyFont="1" applyFill="1" applyBorder="1" applyAlignment="1">
      <alignment horizontal="center" vertical="center"/>
    </xf>
    <xf numFmtId="44" fontId="15" fillId="0" borderId="21" xfId="1" applyFont="1" applyFill="1" applyBorder="1" applyAlignment="1">
      <alignment horizontal="center" vertical="center"/>
    </xf>
    <xf numFmtId="0" fontId="18" fillId="23" borderId="19" xfId="0" applyFont="1" applyFill="1" applyBorder="1" applyAlignment="1">
      <alignment horizontal="center" vertical="center" wrapText="1"/>
    </xf>
    <xf numFmtId="14" fontId="40" fillId="0" borderId="1" xfId="0" applyNumberFormat="1" applyFont="1" applyBorder="1" applyAlignment="1">
      <alignment horizontal="center" vertical="center"/>
    </xf>
    <xf numFmtId="0" fontId="97" fillId="0" borderId="0" xfId="0" applyFont="1"/>
    <xf numFmtId="44" fontId="31" fillId="22" borderId="3" xfId="1" applyFont="1" applyFill="1" applyBorder="1" applyAlignment="1">
      <alignment horizontal="center" vertical="center"/>
    </xf>
    <xf numFmtId="0" fontId="82" fillId="0" borderId="1" xfId="0" applyFont="1" applyBorder="1" applyAlignment="1">
      <alignment horizontal="center" vertical="center" wrapText="1"/>
    </xf>
    <xf numFmtId="44" fontId="40" fillId="21" borderId="16" xfId="1" applyFont="1" applyFill="1" applyBorder="1" applyAlignment="1">
      <alignment horizontal="center" vertical="center"/>
    </xf>
    <xf numFmtId="14" fontId="40" fillId="21" borderId="1" xfId="0" applyNumberFormat="1" applyFont="1" applyFill="1" applyBorder="1" applyAlignment="1">
      <alignment horizontal="center" vertical="center"/>
    </xf>
    <xf numFmtId="44" fontId="34" fillId="0" borderId="16" xfId="1" applyFont="1" applyFill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0" fontId="31" fillId="22" borderId="67" xfId="0" applyFont="1" applyFill="1" applyBorder="1" applyAlignment="1">
      <alignment horizontal="center" vertical="center"/>
    </xf>
    <xf numFmtId="1" fontId="36" fillId="0" borderId="67" xfId="0" applyNumberFormat="1" applyFont="1" applyBorder="1" applyAlignment="1">
      <alignment horizontal="center" vertical="center"/>
    </xf>
    <xf numFmtId="44" fontId="36" fillId="22" borderId="65" xfId="1" applyFont="1" applyFill="1" applyBorder="1" applyAlignment="1">
      <alignment horizontal="center" vertical="center"/>
    </xf>
    <xf numFmtId="14" fontId="36" fillId="22" borderId="66" xfId="0" applyNumberFormat="1" applyFont="1" applyFill="1" applyBorder="1" applyAlignment="1">
      <alignment horizontal="center" vertical="center"/>
    </xf>
    <xf numFmtId="0" fontId="36" fillId="22" borderId="67" xfId="0" applyFont="1" applyFill="1" applyBorder="1" applyAlignment="1">
      <alignment horizontal="center" vertical="center"/>
    </xf>
    <xf numFmtId="1" fontId="36" fillId="22" borderId="67" xfId="0" applyNumberFormat="1" applyFont="1" applyFill="1" applyBorder="1" applyAlignment="1">
      <alignment horizontal="center" vertical="center"/>
    </xf>
    <xf numFmtId="44" fontId="34" fillId="16" borderId="65" xfId="1" applyFont="1" applyFill="1" applyBorder="1" applyAlignment="1">
      <alignment horizontal="center" vertical="center"/>
    </xf>
    <xf numFmtId="14" fontId="34" fillId="16" borderId="66" xfId="0" applyNumberFormat="1" applyFont="1" applyFill="1" applyBorder="1" applyAlignment="1">
      <alignment horizontal="center" vertical="center"/>
    </xf>
    <xf numFmtId="2" fontId="34" fillId="16" borderId="67" xfId="0" applyNumberFormat="1" applyFont="1" applyFill="1" applyBorder="1" applyAlignment="1">
      <alignment horizontal="center" vertical="center"/>
    </xf>
    <xf numFmtId="1" fontId="34" fillId="16" borderId="67" xfId="0" applyNumberFormat="1" applyFont="1" applyFill="1" applyBorder="1" applyAlignment="1">
      <alignment horizontal="center" vertical="center"/>
    </xf>
    <xf numFmtId="0" fontId="53" fillId="23" borderId="1" xfId="0" applyFont="1" applyFill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/>
    </xf>
    <xf numFmtId="44" fontId="40" fillId="0" borderId="65" xfId="1" applyFont="1" applyFill="1" applyBorder="1" applyAlignment="1">
      <alignment horizontal="center" vertical="center"/>
    </xf>
    <xf numFmtId="14" fontId="40" fillId="0" borderId="66" xfId="0" applyNumberFormat="1" applyFont="1" applyBorder="1" applyAlignment="1">
      <alignment horizontal="center" vertical="center"/>
    </xf>
    <xf numFmtId="2" fontId="40" fillId="0" borderId="67" xfId="0" applyNumberFormat="1" applyFont="1" applyBorder="1" applyAlignment="1">
      <alignment horizontal="center" vertical="center"/>
    </xf>
    <xf numFmtId="1" fontId="31" fillId="0" borderId="67" xfId="0" applyNumberFormat="1" applyFont="1" applyBorder="1" applyAlignment="1">
      <alignment horizontal="left" vertical="center"/>
    </xf>
    <xf numFmtId="44" fontId="31" fillId="22" borderId="18" xfId="1" applyFont="1" applyFill="1" applyBorder="1" applyAlignment="1">
      <alignment horizontal="center" vertical="center"/>
    </xf>
    <xf numFmtId="14" fontId="31" fillId="22" borderId="19" xfId="0" applyNumberFormat="1" applyFont="1" applyFill="1" applyBorder="1" applyAlignment="1">
      <alignment horizontal="center" vertical="center"/>
    </xf>
    <xf numFmtId="2" fontId="31" fillId="22" borderId="21" xfId="0" applyNumberFormat="1" applyFont="1" applyFill="1" applyBorder="1" applyAlignment="1">
      <alignment horizontal="center" vertical="center"/>
    </xf>
    <xf numFmtId="1" fontId="31" fillId="22" borderId="21" xfId="0" applyNumberFormat="1" applyFont="1" applyFill="1" applyBorder="1" applyAlignment="1">
      <alignment horizontal="center" vertic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/>
    <xf numFmtId="0" fontId="100" fillId="0" borderId="69" xfId="0" applyFont="1" applyBorder="1" applyAlignment="1">
      <alignment horizontal="center"/>
    </xf>
    <xf numFmtId="0" fontId="100" fillId="0" borderId="66" xfId="0" applyFont="1" applyBorder="1" applyAlignment="1">
      <alignment horizontal="center"/>
    </xf>
    <xf numFmtId="44" fontId="100" fillId="22" borderId="65" xfId="1" applyFont="1" applyFill="1" applyBorder="1" applyAlignment="1">
      <alignment horizontal="center" vertical="center"/>
    </xf>
    <xf numFmtId="14" fontId="100" fillId="22" borderId="66" xfId="0" applyNumberFormat="1" applyFont="1" applyFill="1" applyBorder="1" applyAlignment="1">
      <alignment horizontal="center" vertical="center"/>
    </xf>
    <xf numFmtId="0" fontId="100" fillId="22" borderId="67" xfId="0" applyFont="1" applyFill="1" applyBorder="1" applyAlignment="1">
      <alignment horizontal="center" vertical="center"/>
    </xf>
    <xf numFmtId="44" fontId="100" fillId="0" borderId="65" xfId="1" applyFont="1" applyFill="1" applyBorder="1" applyAlignment="1">
      <alignment horizontal="center" vertical="center"/>
    </xf>
    <xf numFmtId="14" fontId="100" fillId="0" borderId="66" xfId="0" applyNumberFormat="1" applyFont="1" applyBorder="1" applyAlignment="1">
      <alignment horizontal="center" vertical="center"/>
    </xf>
    <xf numFmtId="2" fontId="100" fillId="0" borderId="67" xfId="0" applyNumberFormat="1" applyFont="1" applyBorder="1" applyAlignment="1">
      <alignment horizontal="center" vertical="center"/>
    </xf>
    <xf numFmtId="1" fontId="100" fillId="0" borderId="67" xfId="0" applyNumberFormat="1" applyFont="1" applyBorder="1" applyAlignment="1">
      <alignment horizontal="center" vertical="center"/>
    </xf>
    <xf numFmtId="0" fontId="99" fillId="0" borderId="0" xfId="0" applyFont="1"/>
    <xf numFmtId="0" fontId="55" fillId="0" borderId="0" xfId="0" applyFont="1" applyAlignment="1">
      <alignment horizontal="center"/>
    </xf>
    <xf numFmtId="0" fontId="55" fillId="0" borderId="12" xfId="0" applyFont="1" applyBorder="1" applyAlignment="1">
      <alignment horizontal="center"/>
    </xf>
    <xf numFmtId="0" fontId="0" fillId="0" borderId="1" xfId="0" applyBorder="1" applyAlignment="1">
      <alignment horizontal="center"/>
    </xf>
    <xf numFmtId="41" fontId="5" fillId="0" borderId="1" xfId="0" applyNumberFormat="1" applyFont="1" applyBorder="1" applyAlignment="1">
      <alignment horizontal="center"/>
    </xf>
    <xf numFmtId="41" fontId="61" fillId="0" borderId="1" xfId="0" applyNumberFormat="1" applyFont="1" applyBorder="1" applyAlignment="1">
      <alignment horizontal="center"/>
    </xf>
    <xf numFmtId="41" fontId="62" fillId="0" borderId="1" xfId="0" applyNumberFormat="1" applyFont="1" applyBorder="1" applyAlignment="1">
      <alignment horizontal="center"/>
    </xf>
    <xf numFmtId="41" fontId="55" fillId="23" borderId="1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1" fillId="0" borderId="12" xfId="1" quotePrefix="1" applyNumberFormat="1" applyFont="1" applyFill="1" applyBorder="1" applyAlignment="1">
      <alignment horizontal="center" vertical="center"/>
    </xf>
    <xf numFmtId="16" fontId="36" fillId="0" borderId="1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wrapText="1"/>
    </xf>
    <xf numFmtId="9" fontId="15" fillId="0" borderId="19" xfId="0" applyNumberFormat="1" applyFont="1" applyBorder="1" applyAlignment="1">
      <alignment horizontal="center"/>
    </xf>
    <xf numFmtId="44" fontId="15" fillId="0" borderId="24" xfId="1" applyFont="1" applyFill="1" applyBorder="1"/>
    <xf numFmtId="44" fontId="15" fillId="0" borderId="21" xfId="1" applyFont="1" applyFill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44" fontId="31" fillId="22" borderId="16" xfId="1" applyFont="1" applyFill="1" applyBorder="1" applyAlignment="1">
      <alignment vertical="center"/>
    </xf>
    <xf numFmtId="14" fontId="31" fillId="22" borderId="1" xfId="0" applyNumberFormat="1" applyFont="1" applyFill="1" applyBorder="1" applyAlignment="1">
      <alignment vertical="center"/>
    </xf>
    <xf numFmtId="49" fontId="31" fillId="22" borderId="17" xfId="0" applyNumberFormat="1" applyFont="1" applyFill="1" applyBorder="1" applyAlignment="1">
      <alignment vertical="center"/>
    </xf>
    <xf numFmtId="44" fontId="31" fillId="0" borderId="16" xfId="1" applyFont="1" applyFill="1" applyBorder="1" applyAlignment="1">
      <alignment vertical="center"/>
    </xf>
    <xf numFmtId="1" fontId="31" fillId="0" borderId="17" xfId="0" applyNumberFormat="1" applyFont="1" applyBorder="1" applyAlignment="1">
      <alignment vertical="center"/>
    </xf>
    <xf numFmtId="1" fontId="36" fillId="22" borderId="17" xfId="0" applyNumberFormat="1" applyFont="1" applyFill="1" applyBorder="1" applyAlignment="1">
      <alignment vertical="center"/>
    </xf>
    <xf numFmtId="2" fontId="31" fillId="0" borderId="17" xfId="0" applyNumberFormat="1" applyFont="1" applyBorder="1" applyAlignment="1">
      <alignment vertical="center"/>
    </xf>
    <xf numFmtId="2" fontId="31" fillId="0" borderId="2" xfId="0" applyNumberFormat="1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44" fontId="31" fillId="0" borderId="3" xfId="1" applyFont="1" applyFill="1" applyBorder="1" applyAlignment="1">
      <alignment vertical="center"/>
    </xf>
    <xf numFmtId="0" fontId="31" fillId="0" borderId="0" xfId="0" applyFont="1" applyAlignment="1">
      <alignment vertical="center"/>
    </xf>
    <xf numFmtId="14" fontId="31" fillId="0" borderId="1" xfId="0" applyNumberFormat="1" applyFont="1" applyBorder="1" applyAlignment="1">
      <alignment horizontal="left" vertical="center"/>
    </xf>
    <xf numFmtId="2" fontId="31" fillId="0" borderId="17" xfId="0" applyNumberFormat="1" applyFont="1" applyBorder="1" applyAlignment="1">
      <alignment horizontal="left" vertical="center"/>
    </xf>
    <xf numFmtId="0" fontId="5" fillId="0" borderId="12" xfId="0" applyFont="1" applyBorder="1"/>
    <xf numFmtId="0" fontId="5" fillId="0" borderId="1" xfId="0" applyFont="1" applyBorder="1" applyAlignment="1">
      <alignment horizontal="left"/>
    </xf>
    <xf numFmtId="0" fontId="56" fillId="0" borderId="1" xfId="0" applyFont="1" applyBorder="1"/>
    <xf numFmtId="0" fontId="56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44" fontId="40" fillId="0" borderId="17" xfId="1" applyFont="1" applyFill="1" applyBorder="1" applyAlignment="1">
      <alignment horizontal="center" vertical="center"/>
    </xf>
    <xf numFmtId="2" fontId="40" fillId="0" borderId="17" xfId="0" applyNumberFormat="1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 wrapText="1"/>
    </xf>
    <xf numFmtId="44" fontId="36" fillId="22" borderId="16" xfId="1" applyFont="1" applyFill="1" applyBorder="1" applyAlignment="1">
      <alignment horizontal="center" vertical="center"/>
    </xf>
    <xf numFmtId="14" fontId="36" fillId="22" borderId="1" xfId="0" applyNumberFormat="1" applyFont="1" applyFill="1" applyBorder="1" applyAlignment="1">
      <alignment horizontal="center" vertical="center"/>
    </xf>
    <xf numFmtId="49" fontId="36" fillId="22" borderId="17" xfId="0" applyNumberFormat="1" applyFont="1" applyFill="1" applyBorder="1" applyAlignment="1">
      <alignment horizontal="center" vertical="center"/>
    </xf>
    <xf numFmtId="0" fontId="12" fillId="23" borderId="1" xfId="0" applyFont="1" applyFill="1" applyBorder="1"/>
    <xf numFmtId="0" fontId="2" fillId="23" borderId="1" xfId="0" applyFont="1" applyFill="1" applyBorder="1"/>
    <xf numFmtId="0" fontId="17" fillId="0" borderId="29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8" fontId="17" fillId="0" borderId="29" xfId="1" applyNumberFormat="1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1" fontId="17" fillId="0" borderId="30" xfId="0" applyNumberFormat="1" applyFont="1" applyBorder="1" applyAlignment="1">
      <alignment horizontal="center" vertical="center"/>
    </xf>
    <xf numFmtId="14" fontId="17" fillId="0" borderId="12" xfId="0" applyNumberFormat="1" applyFont="1" applyBorder="1" applyAlignment="1">
      <alignment horizontal="center" vertical="center"/>
    </xf>
    <xf numFmtId="2" fontId="17" fillId="0" borderId="30" xfId="0" applyNumberFormat="1" applyFont="1" applyBorder="1" applyAlignment="1">
      <alignment horizontal="center" vertical="center"/>
    </xf>
    <xf numFmtId="0" fontId="12" fillId="29" borderId="1" xfId="0" applyFont="1" applyFill="1" applyBorder="1"/>
    <xf numFmtId="0" fontId="34" fillId="29" borderId="28" xfId="0" applyFont="1" applyFill="1" applyBorder="1" applyAlignment="1">
      <alignment horizontal="center" vertical="center" wrapText="1"/>
    </xf>
    <xf numFmtId="0" fontId="73" fillId="0" borderId="1" xfId="0" applyFont="1" applyBorder="1" applyAlignment="1">
      <alignment horizontal="left" vertical="center" wrapText="1"/>
    </xf>
    <xf numFmtId="0" fontId="78" fillId="0" borderId="1" xfId="0" applyFont="1" applyBorder="1" applyAlignment="1">
      <alignment horizontal="left" vertical="center" wrapText="1"/>
    </xf>
    <xf numFmtId="0" fontId="75" fillId="0" borderId="1" xfId="0" applyFont="1" applyBorder="1" applyAlignment="1">
      <alignment horizontal="left" vertical="center" wrapText="1"/>
    </xf>
    <xf numFmtId="0" fontId="101" fillId="0" borderId="0" xfId="0" applyFont="1"/>
    <xf numFmtId="14" fontId="101" fillId="0" borderId="0" xfId="0" applyNumberFormat="1" applyFont="1"/>
    <xf numFmtId="44" fontId="72" fillId="30" borderId="1" xfId="1" applyFont="1" applyFill="1" applyBorder="1" applyAlignment="1">
      <alignment horizontal="center" vertical="center"/>
    </xf>
    <xf numFmtId="14" fontId="72" fillId="30" borderId="1" xfId="0" applyNumberFormat="1" applyFont="1" applyFill="1" applyBorder="1" applyAlignment="1">
      <alignment horizontal="center" vertical="center"/>
    </xf>
    <xf numFmtId="1" fontId="72" fillId="30" borderId="1" xfId="0" quotePrefix="1" applyNumberFormat="1" applyFont="1" applyFill="1" applyBorder="1" applyAlignment="1">
      <alignment horizontal="center" vertical="center"/>
    </xf>
    <xf numFmtId="0" fontId="73" fillId="30" borderId="1" xfId="0" applyFont="1" applyFill="1" applyBorder="1" applyAlignment="1">
      <alignment horizontal="center" vertical="center" wrapText="1"/>
    </xf>
    <xf numFmtId="0" fontId="28" fillId="30" borderId="1" xfId="0" applyFont="1" applyFill="1" applyBorder="1" applyAlignment="1">
      <alignment horizontal="center" vertical="center" wrapText="1"/>
    </xf>
    <xf numFmtId="2" fontId="54" fillId="0" borderId="17" xfId="0" applyNumberFormat="1" applyFont="1" applyBorder="1" applyAlignment="1">
      <alignment horizontal="center" vertical="center"/>
    </xf>
    <xf numFmtId="1" fontId="54" fillId="0" borderId="17" xfId="0" applyNumberFormat="1" applyFont="1" applyBorder="1" applyAlignment="1">
      <alignment horizontal="center" vertical="center"/>
    </xf>
    <xf numFmtId="44" fontId="102" fillId="0" borderId="0" xfId="1" applyFont="1" applyAlignment="1">
      <alignment vertical="center"/>
    </xf>
    <xf numFmtId="1" fontId="41" fillId="23" borderId="1" xfId="0" applyNumberFormat="1" applyFont="1" applyFill="1" applyBorder="1" applyAlignment="1">
      <alignment horizontal="center" vertical="center"/>
    </xf>
    <xf numFmtId="1" fontId="41" fillId="0" borderId="1" xfId="0" quotePrefix="1" applyNumberFormat="1" applyFont="1" applyBorder="1" applyAlignment="1">
      <alignment horizontal="center" vertical="center"/>
    </xf>
    <xf numFmtId="1" fontId="41" fillId="0" borderId="12" xfId="1" quotePrefix="1" applyNumberFormat="1" applyFont="1" applyFill="1" applyBorder="1" applyAlignment="1">
      <alignment horizontal="center" vertical="center"/>
    </xf>
    <xf numFmtId="44" fontId="41" fillId="0" borderId="1" xfId="1" applyFont="1" applyFill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44" fontId="103" fillId="7" borderId="7" xfId="1" applyFont="1" applyFill="1" applyBorder="1" applyAlignment="1">
      <alignment horizontal="center" vertical="center"/>
    </xf>
    <xf numFmtId="0" fontId="103" fillId="0" borderId="10" xfId="0" applyFont="1" applyBorder="1" applyAlignment="1">
      <alignment horizontal="center" vertical="center"/>
    </xf>
    <xf numFmtId="0" fontId="105" fillId="0" borderId="0" xfId="0" applyFont="1" applyAlignment="1">
      <alignment horizontal="center" vertical="center" wrapText="1"/>
    </xf>
    <xf numFmtId="44" fontId="103" fillId="5" borderId="7" xfId="1" applyFont="1" applyFill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44" fontId="103" fillId="6" borderId="7" xfId="1" applyFont="1" applyFill="1" applyBorder="1" applyAlignment="1">
      <alignment horizontal="center" vertical="center"/>
    </xf>
    <xf numFmtId="0" fontId="103" fillId="9" borderId="9" xfId="0" applyFont="1" applyFill="1" applyBorder="1" applyAlignment="1">
      <alignment horizontal="center" vertical="center"/>
    </xf>
    <xf numFmtId="0" fontId="106" fillId="0" borderId="7" xfId="0" applyFont="1" applyBorder="1" applyAlignment="1">
      <alignment horizontal="center" vertical="center"/>
    </xf>
    <xf numFmtId="44" fontId="103" fillId="14" borderId="7" xfId="1" applyFont="1" applyFill="1" applyBorder="1" applyAlignment="1">
      <alignment horizontal="center" vertical="center"/>
    </xf>
    <xf numFmtId="0" fontId="106" fillId="3" borderId="6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8" xfId="0" applyFont="1" applyFill="1" applyBorder="1" applyAlignment="1">
      <alignment horizontal="center" vertical="center"/>
    </xf>
    <xf numFmtId="0" fontId="106" fillId="10" borderId="6" xfId="0" applyFont="1" applyFill="1" applyBorder="1" applyAlignment="1">
      <alignment horizontal="center" vertical="center"/>
    </xf>
    <xf numFmtId="44" fontId="106" fillId="10" borderId="5" xfId="1" applyFont="1" applyFill="1" applyBorder="1" applyAlignment="1">
      <alignment horizontal="center" vertical="center"/>
    </xf>
    <xf numFmtId="0" fontId="106" fillId="10" borderId="8" xfId="0" applyFont="1" applyFill="1" applyBorder="1" applyAlignment="1">
      <alignment horizontal="center" vertical="center"/>
    </xf>
    <xf numFmtId="44" fontId="106" fillId="12" borderId="6" xfId="1" applyFont="1" applyFill="1" applyBorder="1" applyAlignment="1">
      <alignment horizontal="center" vertical="center"/>
    </xf>
    <xf numFmtId="0" fontId="106" fillId="12" borderId="5" xfId="0" applyFont="1" applyFill="1" applyBorder="1" applyAlignment="1">
      <alignment horizontal="center" vertical="center"/>
    </xf>
    <xf numFmtId="0" fontId="106" fillId="12" borderId="8" xfId="0" applyFont="1" applyFill="1" applyBorder="1" applyAlignment="1">
      <alignment horizontal="center" vertical="center"/>
    </xf>
    <xf numFmtId="44" fontId="106" fillId="4" borderId="6" xfId="1" applyFont="1" applyFill="1" applyBorder="1" applyAlignment="1">
      <alignment horizontal="center" vertical="center"/>
    </xf>
    <xf numFmtId="0" fontId="106" fillId="4" borderId="5" xfId="0" applyFont="1" applyFill="1" applyBorder="1" applyAlignment="1">
      <alignment horizontal="center" vertical="center"/>
    </xf>
    <xf numFmtId="0" fontId="106" fillId="4" borderId="8" xfId="0" applyFont="1" applyFill="1" applyBorder="1" applyAlignment="1">
      <alignment horizontal="center" vertical="center"/>
    </xf>
    <xf numFmtId="0" fontId="106" fillId="5" borderId="6" xfId="0" applyFont="1" applyFill="1" applyBorder="1" applyAlignment="1">
      <alignment horizontal="center" vertical="center"/>
    </xf>
    <xf numFmtId="0" fontId="106" fillId="5" borderId="5" xfId="0" applyFont="1" applyFill="1" applyBorder="1" applyAlignment="1">
      <alignment horizontal="center" vertical="center"/>
    </xf>
    <xf numFmtId="0" fontId="106" fillId="5" borderId="8" xfId="0" applyFont="1" applyFill="1" applyBorder="1" applyAlignment="1">
      <alignment horizontal="center" vertical="center"/>
    </xf>
    <xf numFmtId="0" fontId="106" fillId="6" borderId="6" xfId="0" applyFont="1" applyFill="1" applyBorder="1" applyAlignment="1">
      <alignment horizontal="center" vertical="center"/>
    </xf>
    <xf numFmtId="0" fontId="106" fillId="6" borderId="5" xfId="0" applyFont="1" applyFill="1" applyBorder="1" applyAlignment="1">
      <alignment horizontal="center" vertical="center"/>
    </xf>
    <xf numFmtId="0" fontId="106" fillId="6" borderId="8" xfId="0" applyFont="1" applyFill="1" applyBorder="1" applyAlignment="1">
      <alignment horizontal="center" vertical="center"/>
    </xf>
    <xf numFmtId="0" fontId="106" fillId="13" borderId="6" xfId="0" applyFont="1" applyFill="1" applyBorder="1" applyAlignment="1">
      <alignment horizontal="center" vertical="center"/>
    </xf>
    <xf numFmtId="0" fontId="106" fillId="13" borderId="5" xfId="0" applyFont="1" applyFill="1" applyBorder="1" applyAlignment="1">
      <alignment horizontal="center" vertical="center"/>
    </xf>
    <xf numFmtId="44" fontId="106" fillId="13" borderId="8" xfId="1" applyFont="1" applyFill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03" fillId="0" borderId="3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 wrapText="1"/>
    </xf>
    <xf numFmtId="0" fontId="108" fillId="0" borderId="12" xfId="0" applyFont="1" applyBorder="1" applyAlignment="1">
      <alignment horizontal="center" vertical="center" wrapText="1"/>
    </xf>
    <xf numFmtId="44" fontId="103" fillId="0" borderId="12" xfId="1" applyFont="1" applyFill="1" applyBorder="1" applyAlignment="1">
      <alignment horizontal="center" vertical="center"/>
    </xf>
    <xf numFmtId="1" fontId="103" fillId="0" borderId="12" xfId="1" applyNumberFormat="1" applyFont="1" applyFill="1" applyBorder="1" applyAlignment="1">
      <alignment horizontal="center" vertical="center"/>
    </xf>
    <xf numFmtId="14" fontId="103" fillId="0" borderId="12" xfId="1" applyNumberFormat="1" applyFont="1" applyFill="1" applyBorder="1" applyAlignment="1">
      <alignment horizontal="center" vertical="center"/>
    </xf>
    <xf numFmtId="44" fontId="103" fillId="0" borderId="1" xfId="1" applyFont="1" applyFill="1" applyBorder="1" applyAlignment="1">
      <alignment horizontal="center" vertical="center"/>
    </xf>
    <xf numFmtId="14" fontId="103" fillId="0" borderId="1" xfId="0" applyNumberFormat="1" applyFont="1" applyBorder="1" applyAlignment="1">
      <alignment horizontal="center" vertical="center"/>
    </xf>
    <xf numFmtId="1" fontId="103" fillId="0" borderId="1" xfId="0" applyNumberFormat="1" applyFont="1" applyBorder="1" applyAlignment="1">
      <alignment horizontal="center" vertical="center"/>
    </xf>
    <xf numFmtId="9" fontId="103" fillId="0" borderId="1" xfId="2" applyFont="1" applyFill="1" applyBorder="1" applyAlignment="1">
      <alignment horizontal="center" vertical="center"/>
    </xf>
    <xf numFmtId="44" fontId="103" fillId="0" borderId="2" xfId="1" applyFont="1" applyFill="1" applyBorder="1" applyAlignment="1">
      <alignment horizontal="center" vertical="center"/>
    </xf>
    <xf numFmtId="44" fontId="103" fillId="0" borderId="17" xfId="1" applyFont="1" applyFill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1" fontId="103" fillId="0" borderId="1" xfId="1" quotePrefix="1" applyNumberFormat="1" applyFont="1" applyFill="1" applyBorder="1" applyAlignment="1">
      <alignment horizontal="center" vertical="center"/>
    </xf>
    <xf numFmtId="14" fontId="103" fillId="0" borderId="1" xfId="1" applyNumberFormat="1" applyFont="1" applyFill="1" applyBorder="1" applyAlignment="1">
      <alignment horizontal="center" vertical="center"/>
    </xf>
    <xf numFmtId="1" fontId="103" fillId="0" borderId="1" xfId="0" quotePrefix="1" applyNumberFormat="1" applyFont="1" applyBorder="1" applyAlignment="1">
      <alignment horizontal="center" vertical="center"/>
    </xf>
    <xf numFmtId="1" fontId="103" fillId="0" borderId="1" xfId="1" applyNumberFormat="1" applyFont="1" applyFill="1" applyBorder="1" applyAlignment="1">
      <alignment horizontal="center" vertical="center"/>
    </xf>
    <xf numFmtId="0" fontId="107" fillId="16" borderId="1" xfId="0" applyFont="1" applyFill="1" applyBorder="1" applyAlignment="1">
      <alignment horizontal="center" vertical="center" wrapText="1"/>
    </xf>
    <xf numFmtId="44" fontId="103" fillId="22" borderId="1" xfId="1" applyFont="1" applyFill="1" applyBorder="1" applyAlignment="1">
      <alignment horizontal="center" vertical="center"/>
    </xf>
    <xf numFmtId="14" fontId="103" fillId="22" borderId="1" xfId="0" applyNumberFormat="1" applyFont="1" applyFill="1" applyBorder="1" applyAlignment="1">
      <alignment horizontal="center" vertical="center"/>
    </xf>
    <xf numFmtId="1" fontId="103" fillId="22" borderId="1" xfId="0" applyNumberFormat="1" applyFont="1" applyFill="1" applyBorder="1" applyAlignment="1">
      <alignment horizontal="center" vertical="center"/>
    </xf>
    <xf numFmtId="9" fontId="103" fillId="0" borderId="1" xfId="0" applyNumberFormat="1" applyFont="1" applyBorder="1" applyAlignment="1">
      <alignment horizontal="center" vertical="center"/>
    </xf>
    <xf numFmtId="0" fontId="103" fillId="0" borderId="0" xfId="0" applyFont="1"/>
    <xf numFmtId="0" fontId="109" fillId="0" borderId="1" xfId="0" applyFont="1" applyBorder="1" applyAlignment="1">
      <alignment horizontal="center" vertical="center"/>
    </xf>
    <xf numFmtId="44" fontId="110" fillId="0" borderId="1" xfId="1" applyFont="1" applyFill="1" applyBorder="1" applyAlignment="1">
      <alignment horizontal="center" vertical="center" wrapText="1"/>
    </xf>
    <xf numFmtId="44" fontId="109" fillId="0" borderId="1" xfId="1" applyFont="1" applyFill="1" applyBorder="1" applyAlignment="1">
      <alignment horizontal="center" vertical="center"/>
    </xf>
    <xf numFmtId="1" fontId="109" fillId="0" borderId="1" xfId="0" applyNumberFormat="1" applyFont="1" applyBorder="1" applyAlignment="1">
      <alignment horizontal="center" vertical="center"/>
    </xf>
    <xf numFmtId="14" fontId="109" fillId="0" borderId="1" xfId="0" applyNumberFormat="1" applyFont="1" applyBorder="1" applyAlignment="1">
      <alignment horizontal="center" vertical="center"/>
    </xf>
    <xf numFmtId="9" fontId="109" fillId="0" borderId="1" xfId="0" applyNumberFormat="1" applyFont="1" applyBorder="1" applyAlignment="1">
      <alignment horizontal="center" vertical="center"/>
    </xf>
    <xf numFmtId="44" fontId="109" fillId="0" borderId="2" xfId="1" applyFont="1" applyFill="1" applyBorder="1" applyAlignment="1">
      <alignment horizontal="center" vertical="center"/>
    </xf>
    <xf numFmtId="44" fontId="109" fillId="0" borderId="17" xfId="1" applyFont="1" applyFill="1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14" fontId="103" fillId="0" borderId="1" xfId="0" applyNumberFormat="1" applyFont="1" applyBorder="1" applyAlignment="1">
      <alignment horizontal="center" vertical="center" wrapText="1"/>
    </xf>
    <xf numFmtId="1" fontId="103" fillId="0" borderId="1" xfId="0" applyNumberFormat="1" applyFont="1" applyBorder="1" applyAlignment="1">
      <alignment horizontal="center" vertical="center" wrapText="1"/>
    </xf>
    <xf numFmtId="0" fontId="103" fillId="0" borderId="66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 wrapText="1"/>
    </xf>
    <xf numFmtId="0" fontId="108" fillId="0" borderId="66" xfId="0" applyFont="1" applyBorder="1" applyAlignment="1">
      <alignment horizontal="center" vertical="center" wrapText="1"/>
    </xf>
    <xf numFmtId="44" fontId="103" fillId="0" borderId="66" xfId="1" applyFont="1" applyFill="1" applyBorder="1" applyAlignment="1">
      <alignment horizontal="center" vertical="center"/>
    </xf>
    <xf numFmtId="1" fontId="103" fillId="0" borderId="66" xfId="0" applyNumberFormat="1" applyFont="1" applyBorder="1" applyAlignment="1">
      <alignment horizontal="center" vertical="center"/>
    </xf>
    <xf numFmtId="14" fontId="103" fillId="0" borderId="66" xfId="0" applyNumberFormat="1" applyFont="1" applyBorder="1" applyAlignment="1">
      <alignment horizontal="center" vertical="center"/>
    </xf>
    <xf numFmtId="9" fontId="103" fillId="0" borderId="66" xfId="2" applyFont="1" applyFill="1" applyBorder="1" applyAlignment="1">
      <alignment horizontal="center" vertical="center"/>
    </xf>
    <xf numFmtId="44" fontId="103" fillId="0" borderId="68" xfId="1" applyFont="1" applyFill="1" applyBorder="1" applyAlignment="1">
      <alignment horizontal="center" vertical="center"/>
    </xf>
    <xf numFmtId="44" fontId="103" fillId="0" borderId="67" xfId="1" applyFont="1" applyFill="1" applyBorder="1" applyAlignment="1">
      <alignment horizontal="center" vertical="center"/>
    </xf>
    <xf numFmtId="0" fontId="103" fillId="0" borderId="19" xfId="0" applyFont="1" applyBorder="1" applyAlignment="1">
      <alignment horizontal="center" vertical="center"/>
    </xf>
    <xf numFmtId="0" fontId="107" fillId="0" borderId="19" xfId="0" applyFont="1" applyBorder="1" applyAlignment="1">
      <alignment horizontal="center" vertical="center" wrapText="1"/>
    </xf>
    <xf numFmtId="0" fontId="108" fillId="0" borderId="19" xfId="0" applyFont="1" applyBorder="1" applyAlignment="1">
      <alignment horizontal="center" vertical="center" wrapText="1"/>
    </xf>
    <xf numFmtId="44" fontId="103" fillId="0" borderId="19" xfId="1" applyFont="1" applyFill="1" applyBorder="1" applyAlignment="1">
      <alignment horizontal="center" vertical="center"/>
    </xf>
    <xf numFmtId="1" fontId="103" fillId="0" borderId="19" xfId="0" applyNumberFormat="1" applyFont="1" applyBorder="1" applyAlignment="1">
      <alignment horizontal="center" vertical="center"/>
    </xf>
    <xf numFmtId="14" fontId="103" fillId="0" borderId="19" xfId="0" applyNumberFormat="1" applyFont="1" applyBorder="1" applyAlignment="1">
      <alignment horizontal="center" vertical="center"/>
    </xf>
    <xf numFmtId="9" fontId="103" fillId="0" borderId="19" xfId="0" applyNumberFormat="1" applyFont="1" applyBorder="1" applyAlignment="1">
      <alignment horizontal="center" vertical="center"/>
    </xf>
    <xf numFmtId="44" fontId="103" fillId="0" borderId="24" xfId="1" applyFont="1" applyFill="1" applyBorder="1" applyAlignment="1">
      <alignment horizontal="center" vertical="center"/>
    </xf>
    <xf numFmtId="44" fontId="103" fillId="0" borderId="21" xfId="1" applyFont="1" applyFill="1" applyBorder="1" applyAlignment="1">
      <alignment horizontal="center" vertical="center"/>
    </xf>
    <xf numFmtId="0" fontId="106" fillId="11" borderId="13" xfId="0" applyFont="1" applyFill="1" applyBorder="1" applyAlignment="1">
      <alignment horizontal="center" vertical="center"/>
    </xf>
    <xf numFmtId="0" fontId="106" fillId="11" borderId="32" xfId="0" applyFont="1" applyFill="1" applyBorder="1" applyAlignment="1">
      <alignment horizontal="center" vertical="center"/>
    </xf>
    <xf numFmtId="0" fontId="103" fillId="0" borderId="9" xfId="0" applyFont="1" applyBorder="1" applyAlignment="1">
      <alignment horizontal="center" vertical="center"/>
    </xf>
    <xf numFmtId="0" fontId="106" fillId="15" borderId="9" xfId="0" applyFont="1" applyFill="1" applyBorder="1" applyAlignment="1">
      <alignment horizontal="center" vertical="center"/>
    </xf>
    <xf numFmtId="0" fontId="106" fillId="15" borderId="10" xfId="0" applyFont="1" applyFill="1" applyBorder="1" applyAlignment="1">
      <alignment horizontal="center" vertical="center"/>
    </xf>
    <xf numFmtId="0" fontId="106" fillId="15" borderId="11" xfId="0" applyFont="1" applyFill="1" applyBorder="1" applyAlignment="1">
      <alignment horizontal="center" vertical="center"/>
    </xf>
    <xf numFmtId="0" fontId="103" fillId="0" borderId="29" xfId="0" applyFont="1" applyBorder="1" applyAlignment="1">
      <alignment horizontal="center" vertical="center"/>
    </xf>
    <xf numFmtId="0" fontId="103" fillId="0" borderId="12" xfId="0" applyFont="1" applyBorder="1" applyAlignment="1">
      <alignment horizontal="center" vertical="center"/>
    </xf>
    <xf numFmtId="0" fontId="111" fillId="0" borderId="1" xfId="0" applyFont="1" applyBorder="1" applyAlignment="1">
      <alignment horizontal="center" vertical="center" wrapText="1"/>
    </xf>
    <xf numFmtId="8" fontId="103" fillId="22" borderId="29" xfId="1" applyNumberFormat="1" applyFont="1" applyFill="1" applyBorder="1" applyAlignment="1">
      <alignment horizontal="center" vertical="center"/>
    </xf>
    <xf numFmtId="14" fontId="105" fillId="22" borderId="1" xfId="0" applyNumberFormat="1" applyFont="1" applyFill="1" applyBorder="1" applyAlignment="1">
      <alignment horizontal="center" vertical="center"/>
    </xf>
    <xf numFmtId="1" fontId="103" fillId="22" borderId="30" xfId="0" applyNumberFormat="1" applyFont="1" applyFill="1" applyBorder="1" applyAlignment="1">
      <alignment horizontal="center" vertical="center"/>
    </xf>
    <xf numFmtId="44" fontId="103" fillId="0" borderId="29" xfId="1" applyFont="1" applyFill="1" applyBorder="1" applyAlignment="1">
      <alignment horizontal="center" vertical="center"/>
    </xf>
    <xf numFmtId="14" fontId="105" fillId="0" borderId="1" xfId="0" applyNumberFormat="1" applyFont="1" applyBorder="1" applyAlignment="1">
      <alignment horizontal="center" vertical="center"/>
    </xf>
    <xf numFmtId="1" fontId="103" fillId="0" borderId="30" xfId="0" applyNumberFormat="1" applyFont="1" applyBorder="1" applyAlignment="1">
      <alignment horizontal="center" vertical="center"/>
    </xf>
    <xf numFmtId="44" fontId="103" fillId="22" borderId="29" xfId="1" applyFont="1" applyFill="1" applyBorder="1" applyAlignment="1">
      <alignment horizontal="center" vertical="center"/>
    </xf>
    <xf numFmtId="14" fontId="103" fillId="0" borderId="12" xfId="0" applyNumberFormat="1" applyFont="1" applyBorder="1" applyAlignment="1">
      <alignment horizontal="center" vertical="center"/>
    </xf>
    <xf numFmtId="2" fontId="103" fillId="0" borderId="30" xfId="0" applyNumberFormat="1" applyFont="1" applyBorder="1" applyAlignment="1">
      <alignment horizontal="center" vertical="center"/>
    </xf>
    <xf numFmtId="0" fontId="103" fillId="0" borderId="16" xfId="0" applyFont="1" applyBorder="1" applyAlignment="1">
      <alignment horizontal="center" vertical="center"/>
    </xf>
    <xf numFmtId="8" fontId="103" fillId="22" borderId="16" xfId="1" applyNumberFormat="1" applyFont="1" applyFill="1" applyBorder="1" applyAlignment="1">
      <alignment horizontal="center" vertical="center"/>
    </xf>
    <xf numFmtId="1" fontId="103" fillId="22" borderId="17" xfId="0" applyNumberFormat="1" applyFont="1" applyFill="1" applyBorder="1" applyAlignment="1">
      <alignment horizontal="center" vertical="center"/>
    </xf>
    <xf numFmtId="44" fontId="103" fillId="0" borderId="16" xfId="1" applyFont="1" applyFill="1" applyBorder="1" applyAlignment="1">
      <alignment horizontal="center" vertical="center"/>
    </xf>
    <xf numFmtId="1" fontId="103" fillId="0" borderId="17" xfId="0" applyNumberFormat="1" applyFont="1" applyBorder="1" applyAlignment="1">
      <alignment horizontal="center" vertical="center"/>
    </xf>
    <xf numFmtId="44" fontId="103" fillId="22" borderId="16" xfId="1" applyFont="1" applyFill="1" applyBorder="1" applyAlignment="1">
      <alignment horizontal="center" vertical="center"/>
    </xf>
    <xf numFmtId="2" fontId="103" fillId="0" borderId="17" xfId="0" applyNumberFormat="1" applyFont="1" applyBorder="1" applyAlignment="1">
      <alignment horizontal="center" vertical="center"/>
    </xf>
    <xf numFmtId="0" fontId="106" fillId="0" borderId="1" xfId="0" applyFont="1" applyBorder="1" applyAlignment="1">
      <alignment horizontal="center" vertical="center"/>
    </xf>
    <xf numFmtId="8" fontId="103" fillId="0" borderId="16" xfId="1" applyNumberFormat="1" applyFont="1" applyFill="1" applyBorder="1" applyAlignment="1">
      <alignment horizontal="center" vertical="center"/>
    </xf>
    <xf numFmtId="0" fontId="106" fillId="0" borderId="1" xfId="0" applyFont="1" applyBorder="1" applyAlignment="1">
      <alignment horizontal="center" vertical="center" wrapText="1"/>
    </xf>
    <xf numFmtId="49" fontId="103" fillId="0" borderId="17" xfId="0" applyNumberFormat="1" applyFont="1" applyBorder="1" applyAlignment="1">
      <alignment horizontal="center" vertical="center"/>
    </xf>
    <xf numFmtId="44" fontId="103" fillId="0" borderId="16" xfId="1" applyFont="1" applyFill="1" applyBorder="1" applyAlignment="1">
      <alignment horizontal="left" vertical="center"/>
    </xf>
    <xf numFmtId="0" fontId="106" fillId="0" borderId="0" xfId="0" applyFont="1" applyAlignment="1">
      <alignment horizontal="left" vertical="center"/>
    </xf>
    <xf numFmtId="49" fontId="103" fillId="22" borderId="17" xfId="0" applyNumberFormat="1" applyFont="1" applyFill="1" applyBorder="1" applyAlignment="1">
      <alignment horizontal="center" vertical="center"/>
    </xf>
    <xf numFmtId="1" fontId="109" fillId="0" borderId="17" xfId="0" applyNumberFormat="1" applyFont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2" fontId="103" fillId="22" borderId="17" xfId="0" applyNumberFormat="1" applyFont="1" applyFill="1" applyBorder="1" applyAlignment="1">
      <alignment horizontal="center" vertical="center"/>
    </xf>
    <xf numFmtId="44" fontId="106" fillId="0" borderId="16" xfId="1" applyFont="1" applyFill="1" applyBorder="1" applyAlignment="1">
      <alignment horizontal="center" vertical="center"/>
    </xf>
    <xf numFmtId="44" fontId="109" fillId="23" borderId="16" xfId="1" applyFont="1" applyFill="1" applyBorder="1" applyAlignment="1">
      <alignment horizontal="center" vertical="center"/>
    </xf>
    <xf numFmtId="2" fontId="109" fillId="0" borderId="17" xfId="0" applyNumberFormat="1" applyFont="1" applyBorder="1" applyAlignment="1">
      <alignment horizontal="center" vertical="center"/>
    </xf>
    <xf numFmtId="44" fontId="109" fillId="0" borderId="16" xfId="1" applyFont="1" applyFill="1" applyBorder="1" applyAlignment="1">
      <alignment horizontal="center" vertical="center"/>
    </xf>
    <xf numFmtId="0" fontId="103" fillId="21" borderId="0" xfId="0" applyFont="1" applyFill="1" applyAlignment="1">
      <alignment horizontal="center" vertical="center"/>
    </xf>
    <xf numFmtId="12" fontId="103" fillId="0" borderId="16" xfId="1" applyNumberFormat="1" applyFont="1" applyFill="1" applyBorder="1" applyAlignment="1">
      <alignment horizontal="center" vertical="center"/>
    </xf>
    <xf numFmtId="0" fontId="103" fillId="22" borderId="17" xfId="0" applyFont="1" applyFill="1" applyBorder="1" applyAlignment="1">
      <alignment horizontal="center" vertical="center"/>
    </xf>
    <xf numFmtId="0" fontId="112" fillId="0" borderId="1" xfId="0" applyFont="1" applyBorder="1" applyAlignment="1">
      <alignment horizontal="center" vertical="center" wrapText="1"/>
    </xf>
    <xf numFmtId="14" fontId="109" fillId="23" borderId="1" xfId="0" applyNumberFormat="1" applyFont="1" applyFill="1" applyBorder="1" applyAlignment="1">
      <alignment horizontal="center" vertical="center"/>
    </xf>
    <xf numFmtId="1" fontId="109" fillId="23" borderId="17" xfId="0" applyNumberFormat="1" applyFont="1" applyFill="1" applyBorder="1" applyAlignment="1">
      <alignment horizontal="center" vertical="center"/>
    </xf>
    <xf numFmtId="1" fontId="103" fillId="0" borderId="2" xfId="0" applyNumberFormat="1" applyFont="1" applyBorder="1" applyAlignment="1">
      <alignment horizontal="center" vertical="center"/>
    </xf>
    <xf numFmtId="44" fontId="106" fillId="0" borderId="3" xfId="1" applyFont="1" applyFill="1" applyBorder="1" applyAlignment="1">
      <alignment horizontal="center" vertical="center"/>
    </xf>
    <xf numFmtId="1" fontId="111" fillId="0" borderId="17" xfId="0" applyNumberFormat="1" applyFont="1" applyBorder="1" applyAlignment="1">
      <alignment horizontal="center" vertical="center"/>
    </xf>
    <xf numFmtId="2" fontId="103" fillId="0" borderId="2" xfId="0" applyNumberFormat="1" applyFont="1" applyBorder="1" applyAlignment="1">
      <alignment horizontal="center" vertical="center"/>
    </xf>
    <xf numFmtId="44" fontId="103" fillId="0" borderId="3" xfId="1" applyFont="1" applyFill="1" applyBorder="1" applyAlignment="1">
      <alignment horizontal="center" vertical="center"/>
    </xf>
    <xf numFmtId="0" fontId="103" fillId="0" borderId="65" xfId="0" applyFont="1" applyBorder="1" applyAlignment="1">
      <alignment horizontal="center" vertical="center"/>
    </xf>
    <xf numFmtId="44" fontId="103" fillId="22" borderId="65" xfId="1" applyFont="1" applyFill="1" applyBorder="1" applyAlignment="1">
      <alignment horizontal="center" vertical="center"/>
    </xf>
    <xf numFmtId="14" fontId="103" fillId="22" borderId="66" xfId="0" applyNumberFormat="1" applyFont="1" applyFill="1" applyBorder="1" applyAlignment="1">
      <alignment horizontal="center" vertical="center"/>
    </xf>
    <xf numFmtId="2" fontId="103" fillId="22" borderId="67" xfId="0" applyNumberFormat="1" applyFont="1" applyFill="1" applyBorder="1" applyAlignment="1">
      <alignment horizontal="center" vertical="center"/>
    </xf>
    <xf numFmtId="44" fontId="103" fillId="0" borderId="65" xfId="1" applyFont="1" applyFill="1" applyBorder="1" applyAlignment="1">
      <alignment horizontal="center" vertical="center"/>
    </xf>
    <xf numFmtId="2" fontId="103" fillId="0" borderId="67" xfId="0" applyNumberFormat="1" applyFont="1" applyBorder="1" applyAlignment="1">
      <alignment horizontal="center" vertical="center"/>
    </xf>
    <xf numFmtId="1" fontId="103" fillId="0" borderId="67" xfId="0" applyNumberFormat="1" applyFont="1" applyBorder="1" applyAlignment="1">
      <alignment horizontal="center" vertical="center"/>
    </xf>
    <xf numFmtId="1" fontId="103" fillId="22" borderId="67" xfId="0" applyNumberFormat="1" applyFont="1" applyFill="1" applyBorder="1" applyAlignment="1">
      <alignment horizontal="center" vertical="center"/>
    </xf>
    <xf numFmtId="0" fontId="111" fillId="0" borderId="66" xfId="0" applyFont="1" applyBorder="1" applyAlignment="1">
      <alignment horizontal="center" vertical="center"/>
    </xf>
    <xf numFmtId="0" fontId="106" fillId="0" borderId="68" xfId="0" applyFont="1" applyBorder="1" applyAlignment="1">
      <alignment horizontal="center" vertical="center" wrapText="1"/>
    </xf>
    <xf numFmtId="44" fontId="109" fillId="0" borderId="65" xfId="1" applyFont="1" applyFill="1" applyBorder="1" applyAlignment="1">
      <alignment horizontal="center" vertical="center"/>
    </xf>
    <xf numFmtId="14" fontId="109" fillId="0" borderId="66" xfId="0" applyNumberFormat="1" applyFont="1" applyBorder="1" applyAlignment="1">
      <alignment horizontal="center" vertical="center"/>
    </xf>
    <xf numFmtId="2" fontId="109" fillId="0" borderId="67" xfId="0" applyNumberFormat="1" applyFont="1" applyBorder="1" applyAlignment="1">
      <alignment horizontal="center" vertical="center"/>
    </xf>
    <xf numFmtId="0" fontId="107" fillId="0" borderId="68" xfId="0" applyFont="1" applyBorder="1" applyAlignment="1">
      <alignment horizontal="center" vertical="center" wrapText="1"/>
    </xf>
    <xf numFmtId="44" fontId="103" fillId="25" borderId="65" xfId="1" applyFont="1" applyFill="1" applyBorder="1" applyAlignment="1">
      <alignment horizontal="center" vertical="center"/>
    </xf>
    <xf numFmtId="14" fontId="103" fillId="25" borderId="66" xfId="0" applyNumberFormat="1" applyFont="1" applyFill="1" applyBorder="1" applyAlignment="1">
      <alignment horizontal="center" vertical="center"/>
    </xf>
    <xf numFmtId="2" fontId="103" fillId="25" borderId="67" xfId="0" applyNumberFormat="1" applyFont="1" applyFill="1" applyBorder="1" applyAlignment="1">
      <alignment horizontal="center" vertical="center"/>
    </xf>
    <xf numFmtId="1" fontId="103" fillId="25" borderId="67" xfId="0" applyNumberFormat="1" applyFont="1" applyFill="1" applyBorder="1" applyAlignment="1">
      <alignment horizontal="center" vertical="center"/>
    </xf>
    <xf numFmtId="0" fontId="103" fillId="0" borderId="18" xfId="0" applyFont="1" applyBorder="1" applyAlignment="1">
      <alignment horizontal="center" vertical="center"/>
    </xf>
    <xf numFmtId="0" fontId="107" fillId="0" borderId="24" xfId="0" applyFont="1" applyBorder="1" applyAlignment="1">
      <alignment horizontal="center" vertical="center" wrapText="1"/>
    </xf>
    <xf numFmtId="44" fontId="103" fillId="0" borderId="18" xfId="1" applyFont="1" applyFill="1" applyBorder="1" applyAlignment="1">
      <alignment horizontal="center" vertical="center"/>
    </xf>
    <xf numFmtId="2" fontId="103" fillId="0" borderId="21" xfId="0" applyNumberFormat="1" applyFont="1" applyBorder="1" applyAlignment="1">
      <alignment horizontal="center" vertical="center"/>
    </xf>
    <xf numFmtId="1" fontId="103" fillId="0" borderId="21" xfId="0" applyNumberFormat="1" applyFont="1" applyBorder="1" applyAlignment="1">
      <alignment horizontal="center" vertical="center"/>
    </xf>
    <xf numFmtId="44" fontId="103" fillId="0" borderId="0" xfId="0" applyNumberFormat="1" applyFont="1" applyAlignment="1">
      <alignment horizontal="center" vertical="center"/>
    </xf>
    <xf numFmtId="43" fontId="113" fillId="0" borderId="0" xfId="1" applyNumberFormat="1" applyFont="1" applyAlignment="1">
      <alignment horizontal="center" vertical="center"/>
    </xf>
    <xf numFmtId="14" fontId="113" fillId="0" borderId="0" xfId="0" applyNumberFormat="1" applyFont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14" fontId="30" fillId="0" borderId="0" xfId="0" applyNumberFormat="1" applyFont="1"/>
    <xf numFmtId="9" fontId="40" fillId="0" borderId="1" xfId="2" applyFont="1" applyFill="1" applyBorder="1" applyAlignment="1">
      <alignment horizontal="center" vertical="center"/>
    </xf>
    <xf numFmtId="44" fontId="40" fillId="0" borderId="2" xfId="1" applyFont="1" applyFill="1" applyBorder="1" applyAlignment="1">
      <alignment horizontal="center" vertical="center"/>
    </xf>
    <xf numFmtId="0" fontId="34" fillId="0" borderId="28" xfId="0" applyFont="1" applyBorder="1" applyAlignment="1">
      <alignment horizontal="left" vertical="center" wrapText="1"/>
    </xf>
    <xf numFmtId="0" fontId="79" fillId="0" borderId="28" xfId="0" applyFont="1" applyBorder="1" applyAlignment="1">
      <alignment horizontal="left" vertical="center" wrapText="1"/>
    </xf>
    <xf numFmtId="0" fontId="53" fillId="0" borderId="28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1" fillId="0" borderId="2" xfId="0" applyFont="1" applyBorder="1"/>
    <xf numFmtId="0" fontId="114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8" fillId="0" borderId="0" xfId="0" applyFont="1"/>
    <xf numFmtId="0" fontId="115" fillId="0" borderId="28" xfId="0" applyFont="1" applyBorder="1" applyAlignment="1">
      <alignment horizontal="center" vertical="center" wrapText="1"/>
    </xf>
    <xf numFmtId="0" fontId="73" fillId="31" borderId="1" xfId="0" applyFont="1" applyFill="1" applyBorder="1" applyAlignment="1">
      <alignment horizontal="center" vertical="center" wrapText="1"/>
    </xf>
    <xf numFmtId="0" fontId="74" fillId="31" borderId="1" xfId="0" applyFont="1" applyFill="1" applyBorder="1" applyAlignment="1">
      <alignment horizontal="center" wrapText="1"/>
    </xf>
    <xf numFmtId="0" fontId="72" fillId="31" borderId="1" xfId="0" applyFont="1" applyFill="1" applyBorder="1" applyAlignment="1">
      <alignment horizontal="center"/>
    </xf>
    <xf numFmtId="9" fontId="72" fillId="31" borderId="1" xfId="2" applyFont="1" applyFill="1" applyBorder="1" applyAlignment="1">
      <alignment horizontal="center"/>
    </xf>
    <xf numFmtId="44" fontId="72" fillId="31" borderId="2" xfId="1" applyFont="1" applyFill="1" applyBorder="1" applyAlignment="1">
      <alignment horizontal="center"/>
    </xf>
    <xf numFmtId="44" fontId="72" fillId="31" borderId="17" xfId="1" applyFont="1" applyFill="1" applyBorder="1" applyAlignment="1">
      <alignment horizontal="center"/>
    </xf>
    <xf numFmtId="44" fontId="31" fillId="25" borderId="29" xfId="1" applyFont="1" applyFill="1" applyBorder="1" applyAlignment="1">
      <alignment horizontal="center" vertical="center"/>
    </xf>
    <xf numFmtId="14" fontId="66" fillId="25" borderId="1" xfId="0" applyNumberFormat="1" applyFont="1" applyFill="1" applyBorder="1" applyAlignment="1">
      <alignment horizontal="center" vertical="center"/>
    </xf>
    <xf numFmtId="1" fontId="31" fillId="25" borderId="30" xfId="0" applyNumberFormat="1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/>
    </xf>
    <xf numFmtId="0" fontId="12" fillId="17" borderId="1" xfId="0" applyFont="1" applyFill="1" applyBorder="1" applyAlignment="1">
      <alignment horizontal="left"/>
    </xf>
    <xf numFmtId="0" fontId="2" fillId="23" borderId="2" xfId="0" applyFont="1" applyFill="1" applyBorder="1" applyAlignment="1">
      <alignment horizontal="center"/>
    </xf>
    <xf numFmtId="0" fontId="2" fillId="23" borderId="3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11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44" fontId="16" fillId="0" borderId="2" xfId="1" applyFont="1" applyFill="1" applyBorder="1" applyAlignment="1">
      <alignment horizontal="center" vertical="center" wrapText="1"/>
    </xf>
    <xf numFmtId="44" fontId="16" fillId="0" borderId="4" xfId="1" applyFont="1" applyFill="1" applyBorder="1" applyAlignment="1">
      <alignment horizontal="center" vertical="center" wrapText="1"/>
    </xf>
    <xf numFmtId="44" fontId="16" fillId="0" borderId="3" xfId="1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41" fillId="0" borderId="2" xfId="1" applyFont="1" applyFill="1" applyBorder="1" applyAlignment="1">
      <alignment horizontal="center" vertical="center" wrapText="1"/>
    </xf>
    <xf numFmtId="44" fontId="41" fillId="0" borderId="4" xfId="1" applyFont="1" applyFill="1" applyBorder="1" applyAlignment="1">
      <alignment horizontal="center" vertical="center" wrapText="1"/>
    </xf>
    <xf numFmtId="44" fontId="41" fillId="0" borderId="3" xfId="1" applyFont="1" applyFill="1" applyBorder="1" applyAlignment="1">
      <alignment horizontal="center" vertical="center" wrapText="1"/>
    </xf>
    <xf numFmtId="0" fontId="38" fillId="11" borderId="9" xfId="0" applyFont="1" applyFill="1" applyBorder="1" applyAlignment="1">
      <alignment horizontal="center" vertical="center"/>
    </xf>
    <xf numFmtId="0" fontId="38" fillId="11" borderId="10" xfId="0" applyFont="1" applyFill="1" applyBorder="1" applyAlignment="1">
      <alignment horizontal="center" vertical="center"/>
    </xf>
    <xf numFmtId="0" fontId="38" fillId="11" borderId="11" xfId="0" applyFont="1" applyFill="1" applyBorder="1" applyAlignment="1">
      <alignment horizontal="center" vertical="center"/>
    </xf>
    <xf numFmtId="0" fontId="38" fillId="11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9" fillId="0" borderId="10" xfId="0" applyFont="1" applyBorder="1" applyAlignment="1">
      <alignment horizontal="center"/>
    </xf>
    <xf numFmtId="0" fontId="39" fillId="0" borderId="11" xfId="0" applyFont="1" applyBorder="1" applyAlignment="1">
      <alignment horizontal="center"/>
    </xf>
    <xf numFmtId="0" fontId="60" fillId="4" borderId="9" xfId="0" applyFont="1" applyFill="1" applyBorder="1" applyAlignment="1">
      <alignment horizontal="center"/>
    </xf>
    <xf numFmtId="0" fontId="60" fillId="4" borderId="10" xfId="0" applyFont="1" applyFill="1" applyBorder="1" applyAlignment="1">
      <alignment horizontal="center"/>
    </xf>
    <xf numFmtId="0" fontId="60" fillId="4" borderId="11" xfId="0" applyFont="1" applyFill="1" applyBorder="1" applyAlignment="1">
      <alignment horizontal="center"/>
    </xf>
    <xf numFmtId="0" fontId="38" fillId="11" borderId="27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9" fillId="0" borderId="10" xfId="0" applyFont="1" applyBorder="1" applyAlignment="1">
      <alignment horizontal="left"/>
    </xf>
    <xf numFmtId="0" fontId="39" fillId="0" borderId="11" xfId="0" applyFont="1" applyBorder="1" applyAlignment="1">
      <alignment horizontal="left"/>
    </xf>
    <xf numFmtId="0" fontId="106" fillId="11" borderId="14" xfId="0" applyFont="1" applyFill="1" applyBorder="1" applyAlignment="1">
      <alignment horizontal="center" vertical="center"/>
    </xf>
    <xf numFmtId="0" fontId="106" fillId="11" borderId="27" xfId="0" applyFont="1" applyFill="1" applyBorder="1" applyAlignment="1">
      <alignment horizontal="center" vertical="center"/>
    </xf>
    <xf numFmtId="0" fontId="106" fillId="11" borderId="9" xfId="0" applyFont="1" applyFill="1" applyBorder="1" applyAlignment="1">
      <alignment horizontal="center" vertical="center"/>
    </xf>
    <xf numFmtId="0" fontId="106" fillId="11" borderId="10" xfId="0" applyFont="1" applyFill="1" applyBorder="1" applyAlignment="1">
      <alignment horizontal="center" vertical="center"/>
    </xf>
    <xf numFmtId="0" fontId="106" fillId="11" borderId="11" xfId="0" applyFont="1" applyFill="1" applyBorder="1" applyAlignment="1">
      <alignment horizontal="center" vertical="center"/>
    </xf>
    <xf numFmtId="44" fontId="103" fillId="22" borderId="22" xfId="1" applyFont="1" applyFill="1" applyBorder="1" applyAlignment="1">
      <alignment horizontal="center" vertical="center"/>
    </xf>
    <xf numFmtId="44" fontId="103" fillId="22" borderId="4" xfId="1" applyFont="1" applyFill="1" applyBorder="1" applyAlignment="1">
      <alignment horizontal="center" vertical="center"/>
    </xf>
    <xf numFmtId="44" fontId="103" fillId="22" borderId="61" xfId="1" applyFont="1" applyFill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3" fillId="0" borderId="10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 wrapText="1"/>
    </xf>
    <xf numFmtId="0" fontId="106" fillId="4" borderId="9" xfId="0" applyFont="1" applyFill="1" applyBorder="1" applyAlignment="1">
      <alignment horizontal="center" vertical="center"/>
    </xf>
    <xf numFmtId="0" fontId="106" fillId="4" borderId="10" xfId="0" applyFont="1" applyFill="1" applyBorder="1" applyAlignment="1">
      <alignment horizontal="center" vertical="center"/>
    </xf>
    <xf numFmtId="0" fontId="106" fillId="4" borderId="11" xfId="0" applyFont="1" applyFill="1" applyBorder="1" applyAlignment="1">
      <alignment horizontal="center" vertical="center"/>
    </xf>
    <xf numFmtId="0" fontId="18" fillId="0" borderId="2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6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" fillId="11" borderId="27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34" fillId="0" borderId="4" xfId="0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10" fillId="0" borderId="57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4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1" fillId="0" borderId="26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44" fontId="41" fillId="0" borderId="2" xfId="1" applyFont="1" applyFill="1" applyBorder="1" applyAlignment="1">
      <alignment horizontal="center" vertical="center"/>
    </xf>
    <xf numFmtId="44" fontId="41" fillId="0" borderId="4" xfId="1" applyFont="1" applyFill="1" applyBorder="1" applyAlignment="1">
      <alignment horizontal="center" vertical="center"/>
    </xf>
    <xf numFmtId="44" fontId="41" fillId="0" borderId="3" xfId="1" applyFont="1" applyFill="1" applyBorder="1" applyAlignment="1">
      <alignment horizontal="center" vertical="center"/>
    </xf>
    <xf numFmtId="0" fontId="41" fillId="0" borderId="2" xfId="0" applyFont="1" applyBorder="1"/>
    <xf numFmtId="0" fontId="41" fillId="0" borderId="4" xfId="0" applyFont="1" applyBorder="1"/>
    <xf numFmtId="0" fontId="41" fillId="0" borderId="3" xfId="0" applyFont="1" applyBorder="1"/>
    <xf numFmtId="44" fontId="41" fillId="0" borderId="33" xfId="1" applyFont="1" applyFill="1" applyBorder="1" applyAlignment="1"/>
    <xf numFmtId="44" fontId="41" fillId="0" borderId="31" xfId="1" applyFont="1" applyFill="1" applyBorder="1" applyAlignment="1"/>
    <xf numFmtId="44" fontId="41" fillId="0" borderId="34" xfId="1" applyFont="1" applyFill="1" applyBorder="1" applyAlignment="1"/>
    <xf numFmtId="44" fontId="41" fillId="0" borderId="2" xfId="1" applyFont="1" applyFill="1" applyBorder="1" applyAlignment="1"/>
    <xf numFmtId="44" fontId="41" fillId="0" borderId="4" xfId="1" applyFont="1" applyFill="1" applyBorder="1" applyAlignment="1"/>
    <xf numFmtId="44" fontId="41" fillId="0" borderId="3" xfId="1" applyFont="1" applyFill="1" applyBorder="1" applyAlignment="1"/>
    <xf numFmtId="0" fontId="0" fillId="0" borderId="5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0" fontId="44" fillId="0" borderId="59" xfId="0" applyFont="1" applyBorder="1" applyAlignment="1">
      <alignment horizontal="center" vertical="center"/>
    </xf>
    <xf numFmtId="0" fontId="44" fillId="0" borderId="60" xfId="0" applyFont="1" applyBorder="1" applyAlignment="1">
      <alignment horizontal="center" vertical="center"/>
    </xf>
    <xf numFmtId="0" fontId="46" fillId="16" borderId="52" xfId="0" applyFont="1" applyFill="1" applyBorder="1" applyAlignment="1">
      <alignment horizontal="center"/>
    </xf>
    <xf numFmtId="0" fontId="46" fillId="16" borderId="53" xfId="0" applyFont="1" applyFill="1" applyBorder="1" applyAlignment="1">
      <alignment horizontal="center"/>
    </xf>
    <xf numFmtId="0" fontId="46" fillId="17" borderId="52" xfId="0" applyFont="1" applyFill="1" applyBorder="1" applyAlignment="1">
      <alignment horizontal="center"/>
    </xf>
    <xf numFmtId="0" fontId="46" fillId="17" borderId="53" xfId="0" applyFont="1" applyFill="1" applyBorder="1" applyAlignment="1">
      <alignment horizontal="center"/>
    </xf>
    <xf numFmtId="0" fontId="46" fillId="17" borderId="54" xfId="0" applyFont="1" applyFill="1" applyBorder="1" applyAlignment="1">
      <alignment horizontal="center"/>
    </xf>
    <xf numFmtId="0" fontId="46" fillId="3" borderId="53" xfId="0" applyFont="1" applyFill="1" applyBorder="1" applyAlignment="1">
      <alignment horizontal="center" vertical="center"/>
    </xf>
    <xf numFmtId="0" fontId="46" fillId="18" borderId="52" xfId="0" applyFont="1" applyFill="1" applyBorder="1" applyAlignment="1">
      <alignment horizontal="center" vertical="center"/>
    </xf>
    <xf numFmtId="0" fontId="46" fillId="18" borderId="53" xfId="0" applyFont="1" applyFill="1" applyBorder="1" applyAlignment="1">
      <alignment horizontal="center" vertical="center"/>
    </xf>
    <xf numFmtId="0" fontId="46" fillId="18" borderId="54" xfId="0" applyFont="1" applyFill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4" fillId="0" borderId="56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3" fillId="20" borderId="7" xfId="0" applyFont="1" applyFill="1" applyBorder="1" applyAlignment="1">
      <alignment horizontal="center" vertical="center"/>
    </xf>
    <xf numFmtId="0" fontId="45" fillId="20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42" fillId="16" borderId="40" xfId="0" applyFont="1" applyFill="1" applyBorder="1" applyAlignment="1">
      <alignment horizontal="center" vertical="center"/>
    </xf>
    <xf numFmtId="0" fontId="42" fillId="16" borderId="23" xfId="0" applyFont="1" applyFill="1" applyBorder="1" applyAlignment="1">
      <alignment horizontal="center" vertical="center"/>
    </xf>
    <xf numFmtId="0" fontId="42" fillId="16" borderId="43" xfId="0" applyFont="1" applyFill="1" applyBorder="1" applyAlignment="1">
      <alignment horizontal="center" vertical="center"/>
    </xf>
    <xf numFmtId="0" fontId="42" fillId="16" borderId="42" xfId="0" applyFont="1" applyFill="1" applyBorder="1" applyAlignment="1">
      <alignment horizontal="center" vertical="center"/>
    </xf>
    <xf numFmtId="0" fontId="42" fillId="17" borderId="40" xfId="0" applyFont="1" applyFill="1" applyBorder="1" applyAlignment="1">
      <alignment horizontal="center" vertical="center"/>
    </xf>
    <xf numFmtId="0" fontId="42" fillId="17" borderId="23" xfId="0" applyFont="1" applyFill="1" applyBorder="1" applyAlignment="1">
      <alignment horizontal="center" vertical="center"/>
    </xf>
    <xf numFmtId="0" fontId="42" fillId="17" borderId="41" xfId="0" applyFont="1" applyFill="1" applyBorder="1" applyAlignment="1">
      <alignment horizontal="center" vertical="center"/>
    </xf>
    <xf numFmtId="0" fontId="42" fillId="17" borderId="43" xfId="0" applyFont="1" applyFill="1" applyBorder="1" applyAlignment="1">
      <alignment horizontal="center" vertical="center"/>
    </xf>
    <xf numFmtId="0" fontId="42" fillId="17" borderId="42" xfId="0" applyFont="1" applyFill="1" applyBorder="1" applyAlignment="1">
      <alignment horizontal="center" vertical="center"/>
    </xf>
    <xf numFmtId="0" fontId="42" fillId="17" borderId="44" xfId="0" applyFont="1" applyFill="1" applyBorder="1" applyAlignment="1">
      <alignment horizontal="center" vertical="center"/>
    </xf>
    <xf numFmtId="0" fontId="42" fillId="3" borderId="23" xfId="0" applyFont="1" applyFill="1" applyBorder="1" applyAlignment="1">
      <alignment horizontal="center" vertical="center"/>
    </xf>
    <xf numFmtId="0" fontId="42" fillId="3" borderId="42" xfId="0" applyFont="1" applyFill="1" applyBorder="1" applyAlignment="1">
      <alignment horizontal="center" vertical="center"/>
    </xf>
    <xf numFmtId="0" fontId="42" fillId="18" borderId="40" xfId="0" applyFont="1" applyFill="1" applyBorder="1" applyAlignment="1">
      <alignment horizontal="center" vertical="center"/>
    </xf>
    <xf numFmtId="0" fontId="42" fillId="18" borderId="23" xfId="0" applyFont="1" applyFill="1" applyBorder="1" applyAlignment="1">
      <alignment horizontal="center" vertical="center"/>
    </xf>
    <xf numFmtId="0" fontId="42" fillId="18" borderId="41" xfId="0" applyFont="1" applyFill="1" applyBorder="1" applyAlignment="1">
      <alignment horizontal="center" vertical="center"/>
    </xf>
    <xf numFmtId="0" fontId="42" fillId="18" borderId="43" xfId="0" applyFont="1" applyFill="1" applyBorder="1" applyAlignment="1">
      <alignment horizontal="center" vertical="center"/>
    </xf>
    <xf numFmtId="0" fontId="42" fillId="18" borderId="42" xfId="0" applyFont="1" applyFill="1" applyBorder="1" applyAlignment="1">
      <alignment horizontal="center" vertical="center"/>
    </xf>
    <xf numFmtId="0" fontId="42" fillId="18" borderId="44" xfId="0" applyFont="1" applyFill="1" applyBorder="1" applyAlignment="1">
      <alignment horizontal="center" vertical="center"/>
    </xf>
    <xf numFmtId="0" fontId="43" fillId="0" borderId="47" xfId="0" applyFont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43" fillId="0" borderId="46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55" fillId="27" borderId="9" xfId="0" applyFont="1" applyFill="1" applyBorder="1" applyAlignment="1">
      <alignment horizontal="center" vertical="center" wrapText="1"/>
    </xf>
    <xf numFmtId="0" fontId="55" fillId="27" borderId="10" xfId="0" applyFont="1" applyFill="1" applyBorder="1" applyAlignment="1">
      <alignment horizontal="center" vertical="center" wrapText="1"/>
    </xf>
    <xf numFmtId="0" fontId="55" fillId="27" borderId="11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35">
    <dxf>
      <font>
        <b/>
        <i val="0"/>
      </font>
      <fill>
        <patternFill>
          <bgColor theme="9"/>
        </patternFill>
      </fill>
    </dxf>
    <dxf>
      <fill>
        <patternFill>
          <bgColor rgb="FFBED1FA"/>
        </patternFill>
      </fill>
    </dxf>
    <dxf>
      <fill>
        <patternFill>
          <bgColor rgb="FFADC0F5"/>
        </patternFill>
      </fill>
    </dxf>
    <dxf>
      <fill>
        <patternFill>
          <bgColor rgb="FFBED1FA"/>
        </patternFill>
      </fill>
    </dxf>
    <dxf>
      <fill>
        <patternFill>
          <bgColor rgb="FFADC0F5"/>
        </patternFill>
      </fill>
    </dxf>
    <dxf>
      <fill>
        <patternFill>
          <bgColor rgb="FFCAE1FA"/>
        </patternFill>
      </fill>
    </dxf>
    <dxf>
      <fill>
        <patternFill>
          <bgColor rgb="FFB4DAFA"/>
        </patternFill>
      </fill>
    </dxf>
    <dxf>
      <fill>
        <patternFill>
          <bgColor rgb="FFB3CFF7"/>
        </patternFill>
      </fill>
    </dxf>
    <dxf>
      <fill>
        <patternFill>
          <bgColor rgb="FF92D050"/>
        </patternFill>
      </fill>
    </dxf>
    <dxf>
      <fill>
        <patternFill>
          <bgColor rgb="FFBED1FA"/>
        </patternFill>
      </fill>
    </dxf>
    <dxf>
      <fill>
        <patternFill>
          <bgColor rgb="FFBED1FA"/>
        </patternFill>
      </fill>
    </dxf>
    <dxf>
      <fill>
        <patternFill>
          <bgColor rgb="FFADC0F5"/>
        </patternFill>
      </fill>
    </dxf>
    <dxf>
      <fill>
        <patternFill>
          <bgColor rgb="FFC2D5FA"/>
        </patternFill>
      </fill>
    </dxf>
    <dxf>
      <fill>
        <patternFill>
          <bgColor rgb="FFBAF8CD"/>
        </patternFill>
      </fill>
    </dxf>
    <dxf>
      <fill>
        <patternFill>
          <bgColor rgb="FFB2ECB8"/>
        </patternFill>
      </fill>
    </dxf>
    <dxf>
      <fill>
        <patternFill>
          <bgColor rgb="FFB2ECB8"/>
        </patternFill>
      </fill>
    </dxf>
    <dxf>
      <fill>
        <patternFill>
          <bgColor rgb="FFBFDDF9"/>
        </patternFill>
      </fill>
    </dxf>
    <dxf>
      <fill>
        <patternFill>
          <bgColor rgb="FFB4CFFA"/>
        </patternFill>
      </fill>
    </dxf>
    <dxf>
      <fill>
        <patternFill>
          <bgColor rgb="FFC2D5FA"/>
        </patternFill>
      </fill>
    </dxf>
    <dxf>
      <fill>
        <patternFill>
          <bgColor rgb="FFA8DBFA"/>
        </patternFill>
      </fill>
    </dxf>
    <dxf>
      <fill>
        <patternFill>
          <bgColor rgb="FFA8DBFA"/>
        </patternFill>
      </fill>
    </dxf>
    <dxf>
      <fill>
        <patternFill>
          <bgColor rgb="FFB2ECB8"/>
        </patternFill>
      </fill>
    </dxf>
    <dxf>
      <fill>
        <patternFill>
          <bgColor rgb="FFBFDDF9"/>
        </patternFill>
      </fill>
    </dxf>
    <dxf>
      <fill>
        <patternFill>
          <bgColor rgb="FFB2ECB8"/>
        </patternFill>
      </fill>
    </dxf>
    <dxf>
      <fill>
        <patternFill>
          <bgColor rgb="FFABCFFB"/>
        </patternFill>
      </fill>
    </dxf>
    <dxf>
      <fill>
        <patternFill>
          <bgColor rgb="FFABCFFB"/>
        </patternFill>
      </fill>
    </dxf>
    <dxf>
      <fill>
        <patternFill>
          <bgColor rgb="FFB2ECB8"/>
        </patternFill>
      </fill>
    </dxf>
    <dxf>
      <fill>
        <patternFill>
          <bgColor rgb="FFB9C8F9"/>
        </patternFill>
      </fill>
    </dxf>
    <dxf>
      <fill>
        <patternFill>
          <bgColor rgb="FFB2ECB8"/>
        </patternFill>
      </fill>
    </dxf>
    <dxf>
      <fill>
        <patternFill>
          <bgColor rgb="FFC1D7FB"/>
        </patternFill>
      </fill>
    </dxf>
    <dxf>
      <fill>
        <patternFill>
          <fgColor rgb="FFB2ECB8"/>
        </patternFill>
      </fill>
    </dxf>
    <dxf>
      <fill>
        <patternFill>
          <bgColor rgb="FFB2ECB8"/>
        </patternFill>
      </fill>
    </dxf>
    <dxf>
      <fill>
        <patternFill>
          <bgColor rgb="FFB4C1FA"/>
        </patternFill>
      </fill>
    </dxf>
    <dxf>
      <fill>
        <patternFill>
          <bgColor rgb="FFB4C1FA"/>
        </patternFill>
      </fill>
    </dxf>
    <dxf>
      <fill>
        <patternFill>
          <bgColor rgb="FFB2ECB8"/>
        </patternFill>
      </fill>
    </dxf>
  </dxfs>
  <tableStyles count="0" defaultTableStyle="TableStyleMedium2" defaultPivotStyle="PivotStyleLight16"/>
  <colors>
    <mruColors>
      <color rgb="FF000000"/>
      <color rgb="FFBFDDF9"/>
      <color rgb="FFADC0F5"/>
      <color rgb="FFADD4F5"/>
      <color rgb="FFA0D8FA"/>
      <color rgb="FFB4C1FA"/>
      <color rgb="FFBAF8CD"/>
      <color rgb="FFB4CFFA"/>
      <color rgb="FFBED1FA"/>
      <color rgb="FFB9C8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14</xdr:row>
      <xdr:rowOff>0</xdr:rowOff>
    </xdr:from>
    <xdr:to>
      <xdr:col>17</xdr:col>
      <xdr:colOff>304800</xdr:colOff>
      <xdr:row>16</xdr:row>
      <xdr:rowOff>13854</xdr:rowOff>
    </xdr:to>
    <xdr:sp macro="" textlink="">
      <xdr:nvSpPr>
        <xdr:cNvPr id="46081" name="AutoShape 1" descr="blob:https://web.whatsapp.com/84cee0a1-184d-4a43-a424-55eebd69fba5">
          <a:extLst>
            <a:ext uri="{FF2B5EF4-FFF2-40B4-BE49-F238E27FC236}">
              <a16:creationId xmlns:a16="http://schemas.microsoft.com/office/drawing/2014/main" id="{00000000-0008-0000-0400-000001B40000}"/>
            </a:ext>
          </a:extLst>
        </xdr:cNvPr>
        <xdr:cNvSpPr>
          <a:spLocks noChangeAspect="1" noChangeArrowheads="1"/>
        </xdr:cNvSpPr>
      </xdr:nvSpPr>
      <xdr:spPr bwMode="auto">
        <a:xfrm>
          <a:off x="24288750" y="62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163868</xdr:colOff>
          <xdr:row>37</xdr:row>
          <xdr:rowOff>113838</xdr:rowOff>
        </xdr:from>
        <xdr:to>
          <xdr:col>3</xdr:col>
          <xdr:colOff>392468</xdr:colOff>
          <xdr:row>38</xdr:row>
          <xdr:rowOff>172951</xdr:rowOff>
        </xdr:to>
        <xdr:sp macro="" textlink="">
          <xdr:nvSpPr>
            <xdr:cNvPr id="58369" name="Control 1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11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163868</xdr:colOff>
          <xdr:row>37</xdr:row>
          <xdr:rowOff>113838</xdr:rowOff>
        </xdr:from>
        <xdr:to>
          <xdr:col>3</xdr:col>
          <xdr:colOff>392468</xdr:colOff>
          <xdr:row>38</xdr:row>
          <xdr:rowOff>172951</xdr:rowOff>
        </xdr:to>
        <xdr:sp macro="" textlink="">
          <xdr:nvSpPr>
            <xdr:cNvPr id="58370" name="Control 2" hidden="1">
              <a:extLst>
                <a:ext uri="{63B3BB69-23CF-44E3-9099-C40C66FF867C}">
                  <a14:compatExt spid="_x0000_s58370"/>
                </a:ext>
                <a:ext uri="{FF2B5EF4-FFF2-40B4-BE49-F238E27FC236}">
                  <a16:creationId xmlns:a16="http://schemas.microsoft.com/office/drawing/2014/main" id="{00000000-0008-0000-1100-000002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OLEGIO%20SAN%20DIEGO/CICLO%20ESCOLAR%2023-24/CONTROLES%2023-24/INSCRITOS-INGRESO/CONTROL%20DE%20INSCRITOS%2023-24.xlsx" TargetMode="External"/><Relationship Id="rId1" Type="http://schemas.openxmlformats.org/officeDocument/2006/relationships/externalLinkPath" Target="/COLEGIO%20SAN%20DIEGO/CICLO%20ESCOLAR%2023-24/CONTROLES%2023-24/INSCRITOS-INGRESO/CONTROL%20DE%20INSCRITOS%202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ºK"/>
      <sheetName val="2ºK"/>
      <sheetName val="3ºK"/>
      <sheetName val="2ºP"/>
      <sheetName val="1ºp"/>
      <sheetName val="3ºP"/>
      <sheetName val="4ºP"/>
      <sheetName val="5ºP"/>
      <sheetName val="6ºP"/>
      <sheetName val="1ºS"/>
      <sheetName val="2ºS"/>
      <sheetName val="3ºS"/>
      <sheetName val="1ºB"/>
      <sheetName val="MATRICULA"/>
      <sheetName val="Club de tarea"/>
      <sheetName val="MAESTRIA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8"/>
  <sheetViews>
    <sheetView zoomScale="110" zoomScaleNormal="11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7" sqref="G17"/>
    </sheetView>
  </sheetViews>
  <sheetFormatPr baseColWidth="10" defaultColWidth="11.44140625" defaultRowHeight="14.4" x14ac:dyDescent="0.3"/>
  <cols>
    <col min="1" max="1" width="12.5546875" customWidth="1"/>
    <col min="2" max="2" width="12.21875" customWidth="1"/>
    <col min="3" max="3" width="10.6640625" customWidth="1"/>
    <col min="4" max="4" width="25.21875" bestFit="1" customWidth="1"/>
    <col min="5" max="5" width="18.77734375" customWidth="1"/>
    <col min="6" max="6" width="17.21875" customWidth="1"/>
    <col min="7" max="7" width="19.77734375" customWidth="1"/>
    <col min="8" max="8" width="16.5546875" customWidth="1"/>
    <col min="9" max="9" width="17.5546875" customWidth="1"/>
    <col min="10" max="10" width="16.5546875" customWidth="1"/>
    <col min="11" max="11" width="19.21875" customWidth="1"/>
    <col min="12" max="13" width="11.77734375" customWidth="1"/>
    <col min="14" max="14" width="21" customWidth="1"/>
    <col min="15" max="16" width="11.77734375" customWidth="1"/>
    <col min="17" max="17" width="19.5546875" customWidth="1"/>
    <col min="18" max="18" width="13.5546875" customWidth="1"/>
    <col min="19" max="19" width="11.77734375" customWidth="1"/>
    <col min="20" max="20" width="19.21875" customWidth="1"/>
    <col min="21" max="22" width="11.77734375" customWidth="1"/>
    <col min="23" max="23" width="11.77734375" bestFit="1" customWidth="1"/>
    <col min="37" max="37" width="16.33203125" customWidth="1"/>
    <col min="39" max="39" width="11.6640625" bestFit="1" customWidth="1"/>
  </cols>
  <sheetData>
    <row r="1" spans="1:26" ht="37.200000000000003" thickBot="1" x14ac:dyDescent="0.35">
      <c r="E1" s="1"/>
      <c r="F1" s="1354" t="s">
        <v>0</v>
      </c>
      <c r="G1" s="1354"/>
      <c r="H1" s="1354"/>
      <c r="I1" s="1354"/>
      <c r="J1" s="1354"/>
      <c r="K1" s="1354"/>
      <c r="L1" s="1354"/>
      <c r="M1" s="1354"/>
      <c r="N1" s="1354"/>
      <c r="O1" s="1354"/>
      <c r="P1" s="1354"/>
      <c r="Q1" s="1354"/>
      <c r="R1" s="4"/>
      <c r="S1" s="1345" t="s">
        <v>1</v>
      </c>
      <c r="T1" s="1345"/>
      <c r="U1" s="1346"/>
    </row>
    <row r="2" spans="1:26" ht="18.600000000000001" thickBot="1" x14ac:dyDescent="0.35">
      <c r="E2" s="2"/>
      <c r="F2" s="1355" t="s">
        <v>2</v>
      </c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5"/>
      <c r="S2" s="1345" t="s">
        <v>3</v>
      </c>
      <c r="T2" s="1345"/>
      <c r="U2" s="1346"/>
    </row>
    <row r="3" spans="1:26" ht="16.8" thickBot="1" x14ac:dyDescent="0.35">
      <c r="E3" s="3"/>
      <c r="F3" s="1344" t="s">
        <v>4</v>
      </c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Q3" s="1344"/>
      <c r="R3" s="6"/>
      <c r="S3" s="1345" t="s">
        <v>5</v>
      </c>
      <c r="T3" s="1345"/>
      <c r="U3" s="1346"/>
    </row>
    <row r="4" spans="1:26" ht="16.8" thickBot="1" x14ac:dyDescent="0.35">
      <c r="C4" s="8"/>
      <c r="D4" s="9" t="s">
        <v>6</v>
      </c>
      <c r="F4" s="1344" t="s">
        <v>39</v>
      </c>
      <c r="G4" s="1344"/>
      <c r="H4" s="1344"/>
      <c r="I4" s="1344"/>
      <c r="J4" s="1344"/>
      <c r="K4" s="1344"/>
      <c r="L4" s="1344"/>
      <c r="M4" s="1344"/>
      <c r="N4" s="1344"/>
      <c r="O4" s="1344"/>
      <c r="P4" s="1344"/>
      <c r="Q4" s="1344"/>
      <c r="R4" s="32"/>
      <c r="S4" s="1345" t="s">
        <v>7</v>
      </c>
      <c r="T4" s="1345"/>
      <c r="U4" s="1346"/>
    </row>
    <row r="5" spans="1:26" ht="15" thickBot="1" x14ac:dyDescent="0.35">
      <c r="R5" s="7"/>
      <c r="S5" s="1347" t="s">
        <v>8</v>
      </c>
      <c r="T5" s="1345"/>
      <c r="U5" s="1346"/>
    </row>
    <row r="6" spans="1:26" ht="15" thickBot="1" x14ac:dyDescent="0.35">
      <c r="S6" s="13"/>
      <c r="T6" s="13"/>
      <c r="U6" s="13"/>
    </row>
    <row r="7" spans="1:26" ht="15" thickBot="1" x14ac:dyDescent="0.35">
      <c r="A7" s="283"/>
      <c r="B7" s="282" t="s">
        <v>9</v>
      </c>
      <c r="C7" s="11" t="s">
        <v>10</v>
      </c>
      <c r="D7" s="12" t="s">
        <v>11</v>
      </c>
      <c r="E7" s="14" t="s">
        <v>12</v>
      </c>
      <c r="F7" s="15" t="s">
        <v>13</v>
      </c>
      <c r="G7" s="15" t="s">
        <v>14</v>
      </c>
      <c r="H7" s="16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29" t="s">
        <v>20</v>
      </c>
      <c r="V7" s="30" t="s">
        <v>21</v>
      </c>
      <c r="W7" s="31" t="s">
        <v>22</v>
      </c>
      <c r="X7" t="s">
        <v>23</v>
      </c>
    </row>
    <row r="8" spans="1:26" ht="24" x14ac:dyDescent="0.3">
      <c r="A8" s="283" t="s">
        <v>135</v>
      </c>
      <c r="B8" s="320" t="s">
        <v>323</v>
      </c>
      <c r="C8" s="59" t="s">
        <v>77</v>
      </c>
      <c r="D8" s="73" t="s">
        <v>126</v>
      </c>
      <c r="E8" s="74" t="s">
        <v>87</v>
      </c>
      <c r="F8" s="33" t="s">
        <v>66</v>
      </c>
      <c r="G8" s="34" t="s">
        <v>66</v>
      </c>
      <c r="H8" s="75">
        <v>45728</v>
      </c>
      <c r="I8" s="37">
        <v>2990</v>
      </c>
      <c r="J8" s="43">
        <v>45728</v>
      </c>
      <c r="K8" s="59">
        <v>30065</v>
      </c>
      <c r="L8" s="280">
        <v>2390</v>
      </c>
      <c r="M8" s="43">
        <v>45728</v>
      </c>
      <c r="N8" s="70" t="s">
        <v>127</v>
      </c>
      <c r="O8" s="37">
        <v>3900</v>
      </c>
      <c r="P8" s="43">
        <v>45798</v>
      </c>
      <c r="Q8" s="70" t="s">
        <v>189</v>
      </c>
      <c r="R8" s="59"/>
      <c r="S8" s="59"/>
      <c r="T8" s="59"/>
      <c r="U8" s="59" t="s">
        <v>258</v>
      </c>
      <c r="V8" s="42">
        <v>0.3</v>
      </c>
      <c r="W8" s="41">
        <v>2394</v>
      </c>
    </row>
    <row r="9" spans="1:26" ht="24.75" customHeight="1" x14ac:dyDescent="0.3">
      <c r="A9" s="283" t="s">
        <v>269</v>
      </c>
      <c r="B9" s="320" t="s">
        <v>322</v>
      </c>
      <c r="C9" s="59" t="s">
        <v>77</v>
      </c>
      <c r="D9" s="73" t="s">
        <v>198</v>
      </c>
      <c r="E9" s="74" t="s">
        <v>195</v>
      </c>
      <c r="F9" s="33" t="s">
        <v>66</v>
      </c>
      <c r="G9" s="34" t="s">
        <v>66</v>
      </c>
      <c r="H9" s="75">
        <v>45825</v>
      </c>
      <c r="I9" s="37">
        <v>2093</v>
      </c>
      <c r="J9" s="36">
        <v>45825</v>
      </c>
      <c r="K9" s="76">
        <v>63415250</v>
      </c>
      <c r="L9" s="37">
        <v>1673</v>
      </c>
      <c r="M9" s="36">
        <v>45825</v>
      </c>
      <c r="N9" s="76">
        <v>63415250</v>
      </c>
      <c r="O9" s="37">
        <v>1980</v>
      </c>
      <c r="P9" s="36">
        <v>45903</v>
      </c>
      <c r="Q9" s="76">
        <v>3012346</v>
      </c>
      <c r="R9" s="77"/>
      <c r="S9" s="36"/>
      <c r="T9" s="38"/>
      <c r="U9" s="59"/>
      <c r="V9" s="78"/>
      <c r="W9" s="41"/>
      <c r="X9" s="79"/>
    </row>
    <row r="10" spans="1:26" x14ac:dyDescent="0.3">
      <c r="A10" s="283" t="s">
        <v>390</v>
      </c>
      <c r="B10" s="320"/>
      <c r="C10" s="59" t="s">
        <v>77</v>
      </c>
      <c r="D10" s="73" t="s">
        <v>391</v>
      </c>
      <c r="E10" s="74" t="s">
        <v>195</v>
      </c>
      <c r="F10" s="33" t="s">
        <v>66</v>
      </c>
      <c r="G10" s="34" t="s">
        <v>66</v>
      </c>
      <c r="H10" s="75">
        <v>45895</v>
      </c>
      <c r="I10" s="35">
        <v>1195</v>
      </c>
      <c r="J10" s="36">
        <v>45895</v>
      </c>
      <c r="K10" s="76">
        <v>692208</v>
      </c>
      <c r="L10" s="37">
        <v>1245</v>
      </c>
      <c r="M10" s="36">
        <v>45895</v>
      </c>
      <c r="N10" s="76">
        <v>692208</v>
      </c>
      <c r="O10" s="37"/>
      <c r="P10" s="43"/>
      <c r="Q10" s="76"/>
      <c r="R10" s="77"/>
      <c r="S10" s="36"/>
      <c r="T10" s="38"/>
      <c r="U10" s="59" t="s">
        <v>196</v>
      </c>
      <c r="V10" s="78">
        <v>0.3</v>
      </c>
      <c r="W10" s="41">
        <v>1852</v>
      </c>
      <c r="X10" s="79"/>
    </row>
    <row r="11" spans="1:26" s="69" customFormat="1" x14ac:dyDescent="0.3">
      <c r="A11" s="284"/>
      <c r="B11" s="320"/>
      <c r="C11" s="81"/>
      <c r="D11" s="82"/>
      <c r="E11" s="83"/>
      <c r="F11" s="84"/>
      <c r="G11" s="80"/>
      <c r="H11" s="85"/>
      <c r="I11" s="86"/>
      <c r="J11" s="81"/>
      <c r="K11" s="67"/>
      <c r="L11" s="86"/>
      <c r="M11" s="81"/>
      <c r="N11" s="81"/>
      <c r="O11" s="86"/>
      <c r="P11" s="81"/>
      <c r="Q11" s="81"/>
      <c r="R11" s="81"/>
      <c r="S11" s="81"/>
      <c r="T11" s="81"/>
      <c r="U11" s="67"/>
      <c r="V11" s="81"/>
      <c r="W11" s="40"/>
    </row>
    <row r="12" spans="1:26" x14ac:dyDescent="0.3">
      <c r="A12" s="283"/>
      <c r="B12" s="320"/>
      <c r="C12" s="87"/>
      <c r="D12" s="73"/>
      <c r="E12" s="88"/>
      <c r="F12" s="33"/>
      <c r="G12" s="75"/>
      <c r="H12" s="75"/>
      <c r="I12" s="39"/>
      <c r="J12" s="68"/>
      <c r="K12" s="59"/>
      <c r="L12" s="87"/>
      <c r="M12" s="68"/>
      <c r="N12" s="87"/>
      <c r="O12" s="39"/>
      <c r="P12" s="68"/>
      <c r="Q12" s="87"/>
      <c r="R12" s="87"/>
      <c r="S12" s="87"/>
      <c r="T12" s="87"/>
      <c r="U12" s="59"/>
      <c r="V12" s="78"/>
      <c r="W12" s="41"/>
    </row>
    <row r="13" spans="1:26" x14ac:dyDescent="0.3">
      <c r="A13" s="283"/>
      <c r="B13" s="320"/>
      <c r="C13" s="87"/>
      <c r="D13" s="73"/>
      <c r="E13" s="88"/>
      <c r="F13" s="33"/>
      <c r="G13" s="72"/>
      <c r="H13" s="75"/>
      <c r="I13" s="39"/>
      <c r="J13" s="68"/>
      <c r="K13" s="59"/>
      <c r="L13" s="87"/>
      <c r="M13" s="68"/>
      <c r="N13" s="87"/>
      <c r="O13" s="39"/>
      <c r="P13" s="68"/>
      <c r="Q13" s="87"/>
      <c r="R13" s="87"/>
      <c r="S13" s="68"/>
      <c r="T13" s="87"/>
      <c r="U13" s="59"/>
      <c r="V13" s="78"/>
      <c r="W13" s="41"/>
      <c r="Z13">
        <v>7213</v>
      </c>
    </row>
    <row r="14" spans="1:26" x14ac:dyDescent="0.3">
      <c r="A14" s="283"/>
      <c r="B14" s="320"/>
      <c r="C14" s="87"/>
      <c r="D14" s="73"/>
      <c r="E14" s="88"/>
      <c r="F14" s="33"/>
      <c r="G14" s="72"/>
      <c r="H14" s="75"/>
      <c r="I14" s="1348"/>
      <c r="J14" s="1349"/>
      <c r="K14" s="1350"/>
      <c r="L14" s="37"/>
      <c r="M14" s="68"/>
      <c r="N14" s="44"/>
      <c r="O14" s="39"/>
      <c r="P14" s="68"/>
      <c r="Q14" s="87"/>
      <c r="R14" s="87"/>
      <c r="S14" s="68"/>
      <c r="T14" s="87"/>
      <c r="U14" s="59"/>
      <c r="V14" s="78"/>
      <c r="W14" s="41"/>
    </row>
    <row r="18" spans="1:41" ht="15" thickBot="1" x14ac:dyDescent="0.35"/>
    <row r="19" spans="1:41" ht="18" thickBot="1" x14ac:dyDescent="0.35">
      <c r="B19" s="1351" t="s">
        <v>24</v>
      </c>
      <c r="C19" s="1352"/>
      <c r="D19" s="1352"/>
      <c r="E19" s="1352"/>
      <c r="F19" s="1352"/>
      <c r="G19" s="1352"/>
      <c r="H19" s="1352"/>
      <c r="I19" s="1352"/>
      <c r="J19" s="1352"/>
      <c r="K19" s="1352"/>
      <c r="L19" s="1352"/>
      <c r="M19" s="1352"/>
      <c r="N19" s="1352"/>
      <c r="O19" s="1352"/>
      <c r="P19" s="1352"/>
      <c r="Q19" s="1352"/>
      <c r="R19" s="1352"/>
      <c r="S19" s="1352"/>
      <c r="T19" s="1352"/>
      <c r="U19" s="1352"/>
      <c r="V19" s="1352"/>
      <c r="W19" s="1352"/>
      <c r="X19" s="1352"/>
      <c r="Y19" s="1352"/>
      <c r="Z19" s="1352"/>
      <c r="AA19" s="1352"/>
      <c r="AB19" s="1352"/>
      <c r="AC19" s="1352"/>
      <c r="AD19" s="1352"/>
      <c r="AE19" s="1352"/>
      <c r="AF19" s="1352"/>
      <c r="AG19" s="1352"/>
      <c r="AH19" s="1352"/>
      <c r="AI19" s="1352"/>
      <c r="AJ19" s="1352"/>
      <c r="AK19" s="1352"/>
      <c r="AL19" s="1352"/>
      <c r="AM19" s="1352"/>
      <c r="AN19" s="1353"/>
    </row>
    <row r="20" spans="1:41" ht="15" thickBot="1" x14ac:dyDescent="0.35">
      <c r="B20" s="45" t="s">
        <v>9</v>
      </c>
      <c r="C20" s="46" t="s">
        <v>10</v>
      </c>
      <c r="D20" s="45" t="s">
        <v>11</v>
      </c>
      <c r="E20" s="1339" t="s">
        <v>25</v>
      </c>
      <c r="F20" s="1340"/>
      <c r="G20" s="1341"/>
      <c r="H20" s="1342" t="s">
        <v>26</v>
      </c>
      <c r="I20" s="1342"/>
      <c r="J20" s="1342"/>
      <c r="K20" s="1339" t="s">
        <v>27</v>
      </c>
      <c r="L20" s="1340"/>
      <c r="M20" s="1341"/>
      <c r="N20" s="1342" t="s">
        <v>28</v>
      </c>
      <c r="O20" s="1342"/>
      <c r="P20" s="1342"/>
      <c r="Q20" s="1339" t="s">
        <v>29</v>
      </c>
      <c r="R20" s="1340"/>
      <c r="S20" s="1341"/>
      <c r="T20" s="1342" t="s">
        <v>30</v>
      </c>
      <c r="U20" s="1342"/>
      <c r="V20" s="1342"/>
      <c r="W20" s="1339" t="s">
        <v>36</v>
      </c>
      <c r="X20" s="1340"/>
      <c r="Y20" s="1341"/>
      <c r="Z20" s="1342" t="s">
        <v>31</v>
      </c>
      <c r="AA20" s="1342"/>
      <c r="AB20" s="1342"/>
      <c r="AC20" s="1339" t="s">
        <v>32</v>
      </c>
      <c r="AD20" s="1340"/>
      <c r="AE20" s="1341"/>
      <c r="AF20" s="1342" t="s">
        <v>33</v>
      </c>
      <c r="AG20" s="1342"/>
      <c r="AH20" s="1342"/>
      <c r="AI20" s="1339" t="s">
        <v>34</v>
      </c>
      <c r="AJ20" s="1340"/>
      <c r="AK20" s="1341"/>
      <c r="AL20" s="1342" t="s">
        <v>35</v>
      </c>
      <c r="AM20" s="1342"/>
      <c r="AN20" s="1343"/>
    </row>
    <row r="21" spans="1:41" ht="15" thickBot="1" x14ac:dyDescent="0.35">
      <c r="B21" s="1336"/>
      <c r="C21" s="1337"/>
      <c r="D21" s="1338"/>
      <c r="E21" s="49" t="s">
        <v>37</v>
      </c>
      <c r="F21" s="50" t="s">
        <v>15</v>
      </c>
      <c r="G21" s="51" t="s">
        <v>14</v>
      </c>
      <c r="H21" s="50" t="s">
        <v>37</v>
      </c>
      <c r="I21" s="50" t="s">
        <v>15</v>
      </c>
      <c r="J21" s="50" t="s">
        <v>14</v>
      </c>
      <c r="K21" s="49" t="s">
        <v>37</v>
      </c>
      <c r="L21" s="50" t="s">
        <v>15</v>
      </c>
      <c r="M21" s="51" t="s">
        <v>14</v>
      </c>
      <c r="N21" s="50" t="s">
        <v>37</v>
      </c>
      <c r="O21" s="50" t="s">
        <v>15</v>
      </c>
      <c r="P21" s="50" t="s">
        <v>14</v>
      </c>
      <c r="Q21" s="49" t="s">
        <v>37</v>
      </c>
      <c r="R21" s="50" t="s">
        <v>15</v>
      </c>
      <c r="S21" s="51" t="s">
        <v>14</v>
      </c>
      <c r="T21" s="50" t="s">
        <v>37</v>
      </c>
      <c r="U21" s="50" t="s">
        <v>15</v>
      </c>
      <c r="V21" s="50" t="s">
        <v>14</v>
      </c>
      <c r="W21" s="49" t="s">
        <v>37</v>
      </c>
      <c r="X21" s="50" t="s">
        <v>15</v>
      </c>
      <c r="Y21" s="51" t="s">
        <v>14</v>
      </c>
      <c r="Z21" s="50" t="s">
        <v>37</v>
      </c>
      <c r="AA21" s="50" t="s">
        <v>15</v>
      </c>
      <c r="AB21" s="50" t="s">
        <v>14</v>
      </c>
      <c r="AC21" s="49" t="s">
        <v>37</v>
      </c>
      <c r="AD21" s="50" t="s">
        <v>15</v>
      </c>
      <c r="AE21" s="51" t="s">
        <v>14</v>
      </c>
      <c r="AF21" s="50" t="s">
        <v>37</v>
      </c>
      <c r="AG21" s="50" t="s">
        <v>15</v>
      </c>
      <c r="AH21" s="50" t="s">
        <v>14</v>
      </c>
      <c r="AI21" s="49" t="s">
        <v>37</v>
      </c>
      <c r="AJ21" s="50" t="s">
        <v>15</v>
      </c>
      <c r="AK21" s="51" t="s">
        <v>14</v>
      </c>
      <c r="AL21" s="50" t="s">
        <v>37</v>
      </c>
      <c r="AM21" s="50" t="s">
        <v>15</v>
      </c>
      <c r="AN21" s="51" t="s">
        <v>14</v>
      </c>
      <c r="AO21" s="387"/>
    </row>
    <row r="22" spans="1:41" s="194" customFormat="1" ht="31.8" customHeight="1" x14ac:dyDescent="0.3">
      <c r="A22" s="208"/>
      <c r="B22" s="285"/>
      <c r="C22" s="132"/>
      <c r="D22" s="186" t="str">
        <f>D8</f>
        <v>ADRIAN GABRIEL CASTELLANOS VARGAS</v>
      </c>
      <c r="E22" s="350"/>
      <c r="F22" s="351"/>
      <c r="G22" s="352"/>
      <c r="H22" s="198">
        <v>2394</v>
      </c>
      <c r="I22" s="133">
        <v>45903</v>
      </c>
      <c r="J22" s="134">
        <v>662152</v>
      </c>
      <c r="K22" s="198">
        <v>2394</v>
      </c>
      <c r="L22" s="133">
        <v>45933</v>
      </c>
      <c r="M22" s="134">
        <v>351478</v>
      </c>
      <c r="N22" s="198">
        <v>2394</v>
      </c>
      <c r="O22" s="133">
        <v>45965</v>
      </c>
      <c r="P22" s="134">
        <v>680625</v>
      </c>
      <c r="Q22" s="198">
        <v>2394</v>
      </c>
      <c r="R22" s="133">
        <v>45995</v>
      </c>
      <c r="S22" s="134">
        <v>587592</v>
      </c>
      <c r="T22" s="198">
        <v>2394</v>
      </c>
      <c r="U22" s="392">
        <v>46027</v>
      </c>
      <c r="V22" s="134" t="s">
        <v>72</v>
      </c>
      <c r="W22" s="367"/>
      <c r="X22" s="351"/>
      <c r="Y22" s="352"/>
      <c r="Z22" s="198">
        <v>2394</v>
      </c>
      <c r="AA22" s="136">
        <v>46057</v>
      </c>
      <c r="AB22" s="137">
        <v>829169</v>
      </c>
      <c r="AC22" s="198">
        <v>2394</v>
      </c>
      <c r="AD22" s="136">
        <v>46086</v>
      </c>
      <c r="AE22" s="137" t="s">
        <v>72</v>
      </c>
      <c r="AF22" s="198">
        <v>2394</v>
      </c>
      <c r="AG22" s="136">
        <v>46117</v>
      </c>
      <c r="AH22" s="137">
        <v>54896123</v>
      </c>
      <c r="AI22" s="198">
        <v>2394</v>
      </c>
      <c r="AJ22" s="136">
        <v>46140</v>
      </c>
      <c r="AK22" s="134" t="s">
        <v>665</v>
      </c>
      <c r="AL22" s="198">
        <v>2394</v>
      </c>
      <c r="AM22" s="236">
        <v>46174</v>
      </c>
      <c r="AN22" s="136" t="s">
        <v>747</v>
      </c>
      <c r="AO22" s="194" t="s">
        <v>815</v>
      </c>
    </row>
    <row r="23" spans="1:41" s="196" customFormat="1" x14ac:dyDescent="0.3">
      <c r="A23" s="189"/>
      <c r="B23" s="373"/>
      <c r="C23" s="380"/>
      <c r="D23" s="186" t="str">
        <f t="shared" ref="D23:D24" si="0">D9</f>
        <v>ELIAS DANIEL CRUZ LOPEZ</v>
      </c>
      <c r="E23" s="381"/>
      <c r="F23" s="382"/>
      <c r="G23" s="372"/>
      <c r="H23" s="383">
        <v>2394</v>
      </c>
      <c r="I23" s="384">
        <v>45901</v>
      </c>
      <c r="J23" s="146">
        <v>3900479</v>
      </c>
      <c r="K23" s="383">
        <v>2394</v>
      </c>
      <c r="L23" s="384">
        <v>45935</v>
      </c>
      <c r="M23" s="146">
        <v>3900458</v>
      </c>
      <c r="N23" s="383">
        <v>2394</v>
      </c>
      <c r="O23" s="384">
        <v>45966</v>
      </c>
      <c r="P23" s="146">
        <v>68654212</v>
      </c>
      <c r="Q23" s="383">
        <v>2394</v>
      </c>
      <c r="R23" s="384">
        <v>45996</v>
      </c>
      <c r="S23" s="146">
        <v>91731157</v>
      </c>
      <c r="T23" s="383">
        <v>2394</v>
      </c>
      <c r="U23" s="384">
        <v>46387</v>
      </c>
      <c r="V23" s="146">
        <v>74572516</v>
      </c>
      <c r="W23" s="385"/>
      <c r="X23" s="382"/>
      <c r="Y23" s="372"/>
      <c r="Z23" s="383">
        <v>2394</v>
      </c>
      <c r="AA23" s="384">
        <v>46056</v>
      </c>
      <c r="AB23" s="386">
        <v>43068784</v>
      </c>
      <c r="AC23" s="383">
        <v>2394</v>
      </c>
      <c r="AD23" s="384">
        <v>46084</v>
      </c>
      <c r="AE23" s="386">
        <v>23256555</v>
      </c>
      <c r="AF23" s="383">
        <v>2394</v>
      </c>
      <c r="AG23" s="384">
        <v>46116</v>
      </c>
      <c r="AH23" s="386">
        <v>22936963</v>
      </c>
      <c r="AI23" s="383">
        <v>2394</v>
      </c>
      <c r="AJ23" s="384">
        <v>46146</v>
      </c>
      <c r="AK23" s="146">
        <v>40105282</v>
      </c>
      <c r="AL23" s="383">
        <v>2394</v>
      </c>
      <c r="AM23" s="384">
        <v>46179</v>
      </c>
      <c r="AN23" s="146">
        <v>20930613</v>
      </c>
      <c r="AO23" s="196" t="s">
        <v>815</v>
      </c>
    </row>
    <row r="24" spans="1:41" s="194" customFormat="1" x14ac:dyDescent="0.3">
      <c r="A24" s="208"/>
      <c r="B24" s="286"/>
      <c r="C24" s="138"/>
      <c r="D24" s="186" t="str">
        <f t="shared" si="0"/>
        <v xml:space="preserve">HELENA POBLETE PEÑA </v>
      </c>
      <c r="E24" s="301"/>
      <c r="F24" s="302"/>
      <c r="G24" s="303"/>
      <c r="H24" s="200">
        <v>1995</v>
      </c>
      <c r="I24" s="140">
        <v>45895</v>
      </c>
      <c r="J24" s="141">
        <v>692208</v>
      </c>
      <c r="K24" s="200">
        <v>1852</v>
      </c>
      <c r="L24" s="140">
        <v>45698</v>
      </c>
      <c r="M24" s="141">
        <v>89983</v>
      </c>
      <c r="N24" s="200">
        <v>1852</v>
      </c>
      <c r="O24" s="140">
        <v>45966</v>
      </c>
      <c r="P24" s="141">
        <v>552233</v>
      </c>
      <c r="Q24" s="200">
        <v>1852</v>
      </c>
      <c r="R24" s="140">
        <v>45996</v>
      </c>
      <c r="S24" s="141">
        <v>24151418</v>
      </c>
      <c r="T24" s="200">
        <v>1852</v>
      </c>
      <c r="U24" s="392">
        <v>46027</v>
      </c>
      <c r="V24" s="141" t="s">
        <v>72</v>
      </c>
      <c r="W24" s="333"/>
      <c r="X24" s="302"/>
      <c r="Y24" s="303"/>
      <c r="Z24" s="200">
        <v>1852</v>
      </c>
      <c r="AA24" s="140">
        <v>46058</v>
      </c>
      <c r="AB24" s="144">
        <v>953212</v>
      </c>
      <c r="AC24" s="200">
        <v>1852</v>
      </c>
      <c r="AD24" s="140">
        <v>46086</v>
      </c>
      <c r="AE24" s="144" t="s">
        <v>72</v>
      </c>
      <c r="AF24" s="200">
        <v>1852</v>
      </c>
      <c r="AG24" s="140">
        <v>46118</v>
      </c>
      <c r="AH24" s="144">
        <v>28873685</v>
      </c>
      <c r="AI24" s="200">
        <v>1852</v>
      </c>
      <c r="AJ24" s="140">
        <v>46148</v>
      </c>
      <c r="AK24" s="409" t="s">
        <v>648</v>
      </c>
      <c r="AL24" s="200">
        <v>1852</v>
      </c>
      <c r="AM24" s="140">
        <v>46178</v>
      </c>
      <c r="AN24" s="141" t="s">
        <v>784</v>
      </c>
      <c r="AO24" s="194" t="s">
        <v>815</v>
      </c>
    </row>
    <row r="25" spans="1:41" s="194" customFormat="1" ht="24" customHeight="1" x14ac:dyDescent="0.3">
      <c r="A25" s="208"/>
      <c r="B25" s="286"/>
      <c r="C25" s="138"/>
      <c r="D25" s="186"/>
      <c r="E25" s="199"/>
      <c r="F25" s="140"/>
      <c r="G25" s="141"/>
      <c r="H25" s="200"/>
      <c r="I25" s="140"/>
      <c r="J25" s="141"/>
      <c r="K25" s="200"/>
      <c r="L25" s="140"/>
      <c r="M25" s="141"/>
      <c r="N25" s="200"/>
      <c r="O25" s="140"/>
      <c r="P25" s="141"/>
      <c r="Q25" s="200"/>
      <c r="R25" s="140"/>
      <c r="S25" s="141"/>
      <c r="T25" s="200"/>
      <c r="U25" s="140"/>
      <c r="V25" s="141"/>
      <c r="W25" s="200"/>
      <c r="X25" s="140"/>
      <c r="Y25" s="141"/>
      <c r="Z25" s="200"/>
      <c r="AA25" s="140"/>
      <c r="AB25" s="144"/>
      <c r="AC25" s="200"/>
      <c r="AD25" s="140"/>
      <c r="AE25" s="144"/>
      <c r="AF25" s="200"/>
      <c r="AG25" s="140"/>
      <c r="AH25" s="144"/>
      <c r="AI25" s="200"/>
      <c r="AJ25" s="140"/>
      <c r="AK25" s="141"/>
      <c r="AL25" s="200"/>
      <c r="AM25" s="140"/>
      <c r="AN25" s="144"/>
    </row>
    <row r="26" spans="1:41" s="194" customFormat="1" x14ac:dyDescent="0.3">
      <c r="A26" s="208"/>
      <c r="B26" s="286"/>
      <c r="C26" s="138"/>
      <c r="D26" s="143"/>
      <c r="E26" s="199"/>
      <c r="F26" s="140"/>
      <c r="G26" s="141"/>
      <c r="H26" s="200"/>
      <c r="I26" s="140"/>
      <c r="J26" s="141"/>
      <c r="K26" s="200"/>
      <c r="L26" s="140"/>
      <c r="M26" s="141"/>
      <c r="N26" s="200"/>
      <c r="O26" s="140"/>
      <c r="P26" s="141"/>
      <c r="Q26" s="200"/>
      <c r="R26" s="140"/>
      <c r="S26" s="141"/>
      <c r="T26" s="200"/>
      <c r="U26" s="140"/>
      <c r="V26" s="141"/>
      <c r="W26" s="200"/>
      <c r="X26" s="140"/>
      <c r="Y26" s="141"/>
      <c r="Z26" s="200"/>
      <c r="AA26" s="140"/>
      <c r="AB26" s="144"/>
      <c r="AC26" s="200"/>
      <c r="AD26" s="140"/>
      <c r="AE26" s="144"/>
      <c r="AF26" s="200"/>
      <c r="AG26" s="140"/>
      <c r="AH26" s="144"/>
      <c r="AI26" s="200"/>
      <c r="AJ26" s="140"/>
      <c r="AK26" s="141"/>
      <c r="AL26" s="200"/>
      <c r="AM26" s="140"/>
      <c r="AN26" s="144"/>
    </row>
    <row r="27" spans="1:41" s="194" customFormat="1" x14ac:dyDescent="0.3">
      <c r="A27" s="208"/>
      <c r="B27" s="286"/>
      <c r="C27" s="138"/>
      <c r="D27" s="143"/>
      <c r="E27" s="200"/>
      <c r="F27" s="140"/>
      <c r="G27" s="145"/>
      <c r="H27" s="200"/>
      <c r="I27" s="140"/>
      <c r="J27" s="141"/>
      <c r="K27" s="200"/>
      <c r="L27" s="140"/>
      <c r="M27" s="141"/>
      <c r="N27" s="200"/>
      <c r="O27" s="140"/>
      <c r="P27" s="141"/>
      <c r="Q27" s="142"/>
      <c r="R27" s="140"/>
      <c r="S27" s="144"/>
      <c r="T27" s="142"/>
      <c r="U27" s="140"/>
      <c r="V27" s="144"/>
      <c r="W27" s="142"/>
      <c r="X27" s="140"/>
      <c r="Y27" s="141"/>
      <c r="Z27" s="142"/>
      <c r="AA27" s="140"/>
      <c r="AB27" s="144"/>
      <c r="AC27" s="200"/>
      <c r="AD27" s="140"/>
      <c r="AE27" s="144"/>
      <c r="AF27" s="200"/>
      <c r="AG27" s="140"/>
      <c r="AH27" s="144"/>
      <c r="AI27" s="200"/>
      <c r="AJ27" s="140"/>
      <c r="AK27" s="144"/>
      <c r="AL27" s="200"/>
      <c r="AM27" s="140"/>
      <c r="AN27" s="144"/>
    </row>
    <row r="28" spans="1:41" s="194" customFormat="1" x14ac:dyDescent="0.3">
      <c r="A28" s="208"/>
      <c r="B28" s="287"/>
      <c r="C28" s="138"/>
      <c r="D28" s="143"/>
      <c r="E28" s="142"/>
      <c r="F28" s="140"/>
      <c r="G28" s="145"/>
      <c r="H28" s="200"/>
      <c r="I28" s="140"/>
      <c r="J28" s="141"/>
      <c r="K28" s="200"/>
      <c r="L28" s="140"/>
      <c r="M28" s="141"/>
      <c r="N28" s="200"/>
      <c r="O28" s="140"/>
      <c r="P28" s="141"/>
      <c r="Q28" s="142"/>
      <c r="R28" s="140"/>
      <c r="S28" s="141"/>
      <c r="T28" s="142"/>
      <c r="U28" s="140"/>
      <c r="V28" s="141"/>
      <c r="W28" s="142"/>
      <c r="X28" s="140"/>
      <c r="Y28" s="146"/>
      <c r="Z28" s="142"/>
      <c r="AA28" s="140"/>
      <c r="AB28" s="144"/>
      <c r="AC28" s="200"/>
      <c r="AD28" s="140"/>
      <c r="AE28" s="144"/>
      <c r="AF28" s="200"/>
      <c r="AG28" s="140"/>
      <c r="AH28" s="144"/>
      <c r="AI28" s="200"/>
      <c r="AJ28" s="140"/>
      <c r="AK28" s="144"/>
      <c r="AL28" s="200"/>
      <c r="AM28" s="140"/>
      <c r="AN28" s="144"/>
    </row>
    <row r="29" spans="1:41" s="194" customFormat="1" ht="32.25" customHeight="1" x14ac:dyDescent="0.3">
      <c r="A29" s="208"/>
      <c r="B29" s="286"/>
      <c r="C29" s="138"/>
      <c r="D29" s="143"/>
      <c r="E29" s="142"/>
      <c r="F29" s="140"/>
      <c r="G29" s="141"/>
      <c r="H29" s="200"/>
      <c r="I29" s="140"/>
      <c r="J29" s="141"/>
      <c r="K29" s="200"/>
      <c r="L29" s="140"/>
      <c r="M29" s="141"/>
      <c r="N29" s="200"/>
      <c r="O29" s="140"/>
      <c r="P29" s="141"/>
      <c r="Q29" s="142"/>
      <c r="R29" s="140"/>
      <c r="S29" s="141"/>
      <c r="T29" s="142"/>
      <c r="U29" s="140"/>
      <c r="V29" s="141"/>
      <c r="W29" s="142"/>
      <c r="X29" s="140"/>
      <c r="Y29" s="141"/>
      <c r="Z29" s="142"/>
      <c r="AA29" s="140"/>
      <c r="AB29" s="144"/>
      <c r="AC29" s="200"/>
      <c r="AD29" s="140"/>
      <c r="AE29" s="144"/>
      <c r="AF29" s="200"/>
      <c r="AG29" s="140"/>
      <c r="AH29" s="144"/>
      <c r="AI29" s="200"/>
      <c r="AJ29" s="140"/>
      <c r="AK29" s="144"/>
      <c r="AL29" s="200"/>
      <c r="AM29" s="140"/>
      <c r="AN29" s="144"/>
    </row>
    <row r="30" spans="1:41" s="194" customFormat="1" ht="28.5" customHeight="1" x14ac:dyDescent="0.3">
      <c r="A30" s="208"/>
      <c r="B30" s="286"/>
      <c r="C30" s="138"/>
      <c r="D30" s="143"/>
      <c r="E30" s="142"/>
      <c r="F30" s="140"/>
      <c r="G30" s="141"/>
      <c r="H30" s="200"/>
      <c r="I30" s="140"/>
      <c r="J30" s="141"/>
      <c r="K30" s="200"/>
      <c r="L30" s="140"/>
      <c r="M30" s="141"/>
      <c r="N30" s="200"/>
      <c r="O30" s="140"/>
      <c r="P30" s="141"/>
      <c r="Q30" s="142"/>
      <c r="R30" s="140"/>
      <c r="S30" s="141"/>
      <c r="T30" s="142"/>
      <c r="U30" s="140"/>
      <c r="V30" s="144"/>
      <c r="W30" s="142"/>
      <c r="X30" s="140"/>
      <c r="Y30" s="141"/>
      <c r="Z30" s="142"/>
      <c r="AA30" s="140"/>
      <c r="AB30" s="144"/>
      <c r="AC30" s="200"/>
      <c r="AD30" s="140"/>
      <c r="AE30" s="144"/>
      <c r="AF30" s="200"/>
      <c r="AG30" s="140"/>
      <c r="AH30" s="144"/>
      <c r="AI30" s="200"/>
      <c r="AJ30" s="140"/>
      <c r="AK30" s="144"/>
      <c r="AL30" s="200"/>
      <c r="AM30" s="140"/>
      <c r="AN30" s="144"/>
    </row>
    <row r="31" spans="1:41" s="194" customFormat="1" x14ac:dyDescent="0.3">
      <c r="A31" s="208"/>
      <c r="B31" s="286"/>
      <c r="C31" s="138"/>
      <c r="D31" s="143"/>
      <c r="E31" s="142"/>
      <c r="F31" s="140"/>
      <c r="G31" s="144"/>
      <c r="H31" s="200"/>
      <c r="I31" s="140"/>
      <c r="J31" s="141"/>
      <c r="K31" s="200"/>
      <c r="L31" s="140"/>
      <c r="M31" s="141"/>
      <c r="N31" s="200"/>
      <c r="O31" s="140"/>
      <c r="P31" s="141"/>
      <c r="Q31" s="142"/>
      <c r="R31" s="140"/>
      <c r="S31" s="141"/>
      <c r="T31" s="142"/>
      <c r="U31" s="140"/>
      <c r="V31" s="144"/>
      <c r="W31" s="142"/>
      <c r="X31" s="140"/>
      <c r="Y31" s="141"/>
      <c r="Z31" s="142"/>
      <c r="AA31" s="140"/>
      <c r="AB31" s="144"/>
      <c r="AC31" s="200"/>
      <c r="AD31" s="140"/>
      <c r="AE31" s="144"/>
      <c r="AF31" s="200"/>
      <c r="AG31" s="140"/>
      <c r="AH31" s="144"/>
      <c r="AI31" s="200"/>
      <c r="AJ31" s="140"/>
      <c r="AK31" s="144"/>
      <c r="AL31" s="200"/>
      <c r="AM31" s="140"/>
      <c r="AN31" s="144"/>
    </row>
    <row r="32" spans="1:41" s="194" customFormat="1" x14ac:dyDescent="0.3">
      <c r="A32" s="208"/>
      <c r="B32" s="288"/>
      <c r="C32" s="138"/>
      <c r="D32" s="143"/>
      <c r="E32" s="142"/>
      <c r="F32" s="140"/>
      <c r="G32" s="144"/>
      <c r="H32" s="200"/>
      <c r="I32" s="140"/>
      <c r="J32" s="141"/>
      <c r="K32" s="200"/>
      <c r="L32" s="140"/>
      <c r="M32" s="141"/>
      <c r="N32" s="200"/>
      <c r="O32" s="140"/>
      <c r="P32" s="141"/>
      <c r="Q32" s="142"/>
      <c r="R32" s="140"/>
      <c r="S32" s="141"/>
      <c r="T32" s="142"/>
      <c r="U32" s="140"/>
      <c r="V32" s="144"/>
      <c r="W32" s="142"/>
      <c r="X32" s="140"/>
      <c r="Y32" s="141"/>
      <c r="Z32" s="142"/>
      <c r="AA32" s="140"/>
      <c r="AB32" s="144"/>
      <c r="AC32" s="200"/>
      <c r="AD32" s="140"/>
      <c r="AE32" s="144"/>
      <c r="AF32" s="200"/>
      <c r="AG32" s="140"/>
      <c r="AH32" s="144"/>
      <c r="AI32" s="200"/>
      <c r="AJ32" s="140"/>
      <c r="AK32" s="144"/>
      <c r="AL32" s="200"/>
      <c r="AM32" s="140"/>
      <c r="AN32" s="144"/>
    </row>
    <row r="33" spans="1:40" s="194" customFormat="1" x14ac:dyDescent="0.3">
      <c r="A33" s="208"/>
      <c r="B33" s="286"/>
      <c r="C33" s="138"/>
      <c r="D33" s="143"/>
      <c r="E33" s="142"/>
      <c r="F33" s="140"/>
      <c r="G33" s="144"/>
      <c r="H33" s="200"/>
      <c r="I33" s="140"/>
      <c r="J33" s="141"/>
      <c r="K33" s="200"/>
      <c r="L33" s="140"/>
      <c r="M33" s="141"/>
      <c r="N33" s="200"/>
      <c r="O33" s="140"/>
      <c r="P33" s="141"/>
      <c r="Q33" s="142"/>
      <c r="R33" s="140"/>
      <c r="S33" s="141"/>
      <c r="T33" s="142"/>
      <c r="U33" s="140"/>
      <c r="V33" s="144"/>
      <c r="W33" s="142"/>
      <c r="X33" s="140"/>
      <c r="Y33" s="141"/>
      <c r="Z33" s="142"/>
      <c r="AA33" s="140"/>
      <c r="AB33" s="144"/>
      <c r="AC33" s="200"/>
      <c r="AD33" s="140"/>
      <c r="AE33" s="144"/>
      <c r="AF33" s="200"/>
      <c r="AG33" s="140"/>
      <c r="AH33" s="144"/>
      <c r="AI33" s="200"/>
      <c r="AJ33" s="140"/>
      <c r="AK33" s="144"/>
      <c r="AL33" s="200"/>
      <c r="AM33" s="140"/>
      <c r="AN33" s="144"/>
    </row>
    <row r="34" spans="1:40" s="194" customFormat="1" x14ac:dyDescent="0.3">
      <c r="A34" s="208"/>
      <c r="B34" s="286"/>
      <c r="C34" s="138"/>
      <c r="D34" s="143"/>
      <c r="E34" s="142"/>
      <c r="F34" s="140"/>
      <c r="G34" s="141"/>
      <c r="H34" s="200"/>
      <c r="I34" s="140"/>
      <c r="J34" s="141"/>
      <c r="K34" s="200"/>
      <c r="L34" s="140"/>
      <c r="M34" s="141"/>
      <c r="N34" s="200"/>
      <c r="O34" s="140"/>
      <c r="P34" s="141"/>
      <c r="Q34" s="142"/>
      <c r="R34" s="140"/>
      <c r="S34" s="141"/>
      <c r="T34" s="142"/>
      <c r="U34" s="140"/>
      <c r="V34" s="144"/>
      <c r="W34" s="142"/>
      <c r="X34" s="140"/>
      <c r="Y34" s="145"/>
      <c r="Z34" s="142"/>
      <c r="AA34" s="140"/>
      <c r="AB34" s="144"/>
      <c r="AC34" s="200"/>
      <c r="AD34" s="140"/>
      <c r="AE34" s="144"/>
      <c r="AF34" s="200"/>
      <c r="AG34" s="140"/>
      <c r="AH34" s="144"/>
      <c r="AI34" s="200"/>
      <c r="AJ34" s="140"/>
      <c r="AK34" s="144"/>
      <c r="AL34" s="200"/>
      <c r="AM34" s="140"/>
      <c r="AN34" s="144"/>
    </row>
    <row r="35" spans="1:40" s="194" customFormat="1" x14ac:dyDescent="0.3">
      <c r="A35" s="208"/>
      <c r="B35" s="286"/>
      <c r="C35" s="138"/>
      <c r="D35" s="143"/>
      <c r="E35" s="142"/>
      <c r="F35" s="140"/>
      <c r="G35" s="144"/>
      <c r="H35" s="200"/>
      <c r="I35" s="140"/>
      <c r="J35" s="141"/>
      <c r="K35" s="200"/>
      <c r="L35" s="140"/>
      <c r="M35" s="141"/>
      <c r="N35" s="200"/>
      <c r="O35" s="140"/>
      <c r="P35" s="141"/>
      <c r="Q35" s="142"/>
      <c r="R35" s="140"/>
      <c r="S35" s="141"/>
      <c r="T35" s="142"/>
      <c r="U35" s="140"/>
      <c r="V35" s="144"/>
      <c r="W35" s="142"/>
      <c r="X35" s="140"/>
      <c r="Y35" s="141"/>
      <c r="Z35" s="142"/>
      <c r="AA35" s="140"/>
      <c r="AB35" s="144"/>
      <c r="AC35" s="200"/>
      <c r="AD35" s="140"/>
      <c r="AE35" s="144"/>
      <c r="AF35" s="200"/>
      <c r="AG35" s="140"/>
      <c r="AH35" s="144"/>
      <c r="AI35" s="200"/>
      <c r="AJ35" s="140"/>
      <c r="AK35" s="144"/>
      <c r="AL35" s="200"/>
      <c r="AM35" s="140"/>
      <c r="AN35" s="144"/>
    </row>
    <row r="36" spans="1:40" s="194" customFormat="1" x14ac:dyDescent="0.3">
      <c r="A36" s="208"/>
      <c r="B36" s="286"/>
      <c r="C36" s="138"/>
      <c r="D36" s="143"/>
      <c r="E36" s="142"/>
      <c r="F36" s="140"/>
      <c r="G36" s="144"/>
      <c r="H36" s="200"/>
      <c r="I36" s="140"/>
      <c r="J36" s="144"/>
      <c r="K36" s="200"/>
      <c r="L36" s="140"/>
      <c r="M36" s="144"/>
      <c r="N36" s="200"/>
      <c r="O36" s="140"/>
      <c r="P36" s="144"/>
      <c r="Q36" s="142"/>
      <c r="R36" s="140"/>
      <c r="S36" s="144"/>
      <c r="T36" s="142"/>
      <c r="U36" s="140"/>
      <c r="V36" s="144"/>
      <c r="W36" s="142"/>
      <c r="X36" s="140"/>
      <c r="Y36" s="141"/>
      <c r="Z36" s="142"/>
      <c r="AA36" s="140"/>
      <c r="AB36" s="144"/>
      <c r="AC36" s="200"/>
      <c r="AD36" s="140"/>
      <c r="AE36" s="144"/>
      <c r="AF36" s="200"/>
      <c r="AG36" s="140"/>
      <c r="AH36" s="144"/>
      <c r="AI36" s="200"/>
      <c r="AJ36" s="140"/>
      <c r="AK36" s="144"/>
      <c r="AL36" s="200"/>
      <c r="AM36" s="140"/>
      <c r="AN36" s="144"/>
    </row>
    <row r="37" spans="1:40" s="194" customFormat="1" x14ac:dyDescent="0.3">
      <c r="A37" s="208"/>
      <c r="B37" s="286"/>
      <c r="C37" s="138"/>
      <c r="D37" s="143"/>
      <c r="E37" s="142"/>
      <c r="F37" s="140"/>
      <c r="G37" s="144"/>
      <c r="H37" s="200"/>
      <c r="I37" s="140"/>
      <c r="J37" s="144"/>
      <c r="K37" s="200"/>
      <c r="L37" s="140"/>
      <c r="M37" s="141"/>
      <c r="N37" s="200"/>
      <c r="O37" s="140"/>
      <c r="P37" s="141"/>
      <c r="Q37" s="142"/>
      <c r="R37" s="140"/>
      <c r="S37" s="144"/>
      <c r="T37" s="142"/>
      <c r="U37" s="140"/>
      <c r="V37" s="144"/>
      <c r="W37" s="142"/>
      <c r="X37" s="140"/>
      <c r="Y37" s="141"/>
      <c r="Z37" s="142"/>
      <c r="AA37" s="140"/>
      <c r="AB37" s="144"/>
      <c r="AC37" s="200"/>
      <c r="AD37" s="140"/>
      <c r="AE37" s="144"/>
      <c r="AF37" s="200"/>
      <c r="AG37" s="140"/>
      <c r="AH37" s="144"/>
      <c r="AI37" s="200"/>
      <c r="AJ37" s="140"/>
      <c r="AK37" s="144"/>
      <c r="AL37" s="200"/>
      <c r="AM37" s="140"/>
      <c r="AN37" s="144"/>
    </row>
    <row r="38" spans="1:40" s="194" customFormat="1" ht="25.5" customHeight="1" thickBot="1" x14ac:dyDescent="0.35">
      <c r="A38" s="208"/>
      <c r="B38" s="289"/>
      <c r="C38" s="147"/>
      <c r="D38" s="148"/>
      <c r="E38" s="149"/>
      <c r="F38" s="150"/>
      <c r="G38" s="151"/>
      <c r="H38" s="201"/>
      <c r="I38" s="150"/>
      <c r="J38" s="152"/>
      <c r="K38" s="201"/>
      <c r="L38" s="150"/>
      <c r="M38" s="152"/>
      <c r="N38" s="201"/>
      <c r="O38" s="150"/>
      <c r="P38" s="152"/>
      <c r="Q38" s="149"/>
      <c r="R38" s="150"/>
      <c r="S38" s="151"/>
      <c r="T38" s="149"/>
      <c r="U38" s="150"/>
      <c r="V38" s="152"/>
      <c r="W38" s="149"/>
      <c r="X38" s="150"/>
      <c r="Y38" s="152"/>
      <c r="Z38" s="149"/>
      <c r="AA38" s="150"/>
      <c r="AB38" s="151"/>
      <c r="AC38" s="201"/>
      <c r="AD38" s="150"/>
      <c r="AE38" s="151"/>
      <c r="AF38" s="201"/>
      <c r="AG38" s="150"/>
      <c r="AH38" s="151"/>
      <c r="AI38" s="201"/>
      <c r="AJ38" s="150"/>
      <c r="AK38" s="151"/>
      <c r="AL38" s="201"/>
      <c r="AM38" s="150"/>
      <c r="AN38" s="151"/>
    </row>
  </sheetData>
  <mergeCells count="24">
    <mergeCell ref="F1:Q1"/>
    <mergeCell ref="S1:U1"/>
    <mergeCell ref="F2:Q2"/>
    <mergeCell ref="S2:U2"/>
    <mergeCell ref="F3:Q3"/>
    <mergeCell ref="S3:U3"/>
    <mergeCell ref="F4:Q4"/>
    <mergeCell ref="S4:U4"/>
    <mergeCell ref="S5:U5"/>
    <mergeCell ref="I14:K14"/>
    <mergeCell ref="B19:AN19"/>
    <mergeCell ref="AI20:AK20"/>
    <mergeCell ref="AL20:AN20"/>
    <mergeCell ref="E20:G20"/>
    <mergeCell ref="H20:J20"/>
    <mergeCell ref="K20:M20"/>
    <mergeCell ref="N20:P20"/>
    <mergeCell ref="Q20:S20"/>
    <mergeCell ref="T20:V20"/>
    <mergeCell ref="B21:D21"/>
    <mergeCell ref="W20:Y20"/>
    <mergeCell ref="Z20:AB20"/>
    <mergeCell ref="AC20:AE20"/>
    <mergeCell ref="AF20:AH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O37"/>
  <sheetViews>
    <sheetView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29" sqref="D29"/>
    </sheetView>
  </sheetViews>
  <sheetFormatPr baseColWidth="10" defaultRowHeight="14.4" x14ac:dyDescent="0.3"/>
  <cols>
    <col min="1" max="1" width="13.44140625" bestFit="1" customWidth="1"/>
    <col min="2" max="2" width="3.44140625" bestFit="1" customWidth="1"/>
    <col min="3" max="3" width="18.5546875" bestFit="1" customWidth="1"/>
    <col min="4" max="4" width="25.21875" bestFit="1" customWidth="1"/>
    <col min="5" max="5" width="18.77734375" customWidth="1"/>
    <col min="6" max="6" width="17.21875" customWidth="1"/>
    <col min="7" max="7" width="19.77734375" customWidth="1"/>
    <col min="8" max="8" width="16.5546875" customWidth="1"/>
    <col min="9" max="9" width="17.5546875" customWidth="1"/>
    <col min="10" max="10" width="20.77734375" customWidth="1"/>
    <col min="11" max="11" width="19.21875" customWidth="1"/>
    <col min="12" max="12" width="13.44140625" customWidth="1"/>
    <col min="13" max="13" width="20.109375" customWidth="1"/>
    <col min="14" max="14" width="21" customWidth="1"/>
    <col min="15" max="15" width="16.77734375" customWidth="1"/>
    <col min="16" max="16" width="20.109375" customWidth="1"/>
    <col min="17" max="17" width="19.5546875" customWidth="1"/>
    <col min="18" max="18" width="13.5546875" customWidth="1"/>
    <col min="19" max="19" width="11.77734375" customWidth="1"/>
    <col min="20" max="20" width="19.21875" customWidth="1"/>
    <col min="21" max="21" width="13.21875" customWidth="1"/>
    <col min="22" max="22" width="24.109375" customWidth="1"/>
    <col min="23" max="23" width="12.44140625" bestFit="1" customWidth="1"/>
    <col min="25" max="25" width="21.88671875" customWidth="1"/>
    <col min="28" max="28" width="25.109375" customWidth="1"/>
    <col min="31" max="31" width="20" customWidth="1"/>
    <col min="34" max="34" width="23.77734375" customWidth="1"/>
    <col min="37" max="37" width="20.44140625" customWidth="1"/>
    <col min="40" max="40" width="12.5546875" bestFit="1" customWidth="1"/>
  </cols>
  <sheetData>
    <row r="1" spans="1:29" ht="37.200000000000003" thickBot="1" x14ac:dyDescent="0.35">
      <c r="E1" s="1"/>
      <c r="F1" s="1354" t="s">
        <v>0</v>
      </c>
      <c r="G1" s="1354"/>
      <c r="H1" s="1354"/>
      <c r="I1" s="1354"/>
      <c r="J1" s="1354"/>
      <c r="K1" s="1354"/>
      <c r="L1" s="1354"/>
      <c r="M1" s="1354"/>
      <c r="N1" s="1354"/>
      <c r="O1" s="1354"/>
      <c r="P1" s="1354"/>
      <c r="Q1" s="1354"/>
      <c r="R1" s="4"/>
      <c r="S1" s="1345" t="s">
        <v>1</v>
      </c>
      <c r="T1" s="1345"/>
      <c r="U1" s="1346"/>
    </row>
    <row r="2" spans="1:29" ht="18.600000000000001" thickBot="1" x14ac:dyDescent="0.35">
      <c r="E2" s="2"/>
      <c r="F2" s="1355" t="s">
        <v>2</v>
      </c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5"/>
      <c r="S2" s="1345" t="s">
        <v>3</v>
      </c>
      <c r="T2" s="1345"/>
      <c r="U2" s="1346"/>
    </row>
    <row r="3" spans="1:29" ht="16.8" thickBot="1" x14ac:dyDescent="0.35">
      <c r="E3" s="3"/>
      <c r="F3" s="1344" t="s">
        <v>4</v>
      </c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Q3" s="1344"/>
      <c r="R3" s="6"/>
      <c r="S3" s="1345" t="s">
        <v>5</v>
      </c>
      <c r="T3" s="1345"/>
      <c r="U3" s="1346"/>
    </row>
    <row r="4" spans="1:29" ht="16.8" thickBot="1" x14ac:dyDescent="0.35">
      <c r="C4" s="8"/>
      <c r="D4" s="9" t="s">
        <v>6</v>
      </c>
      <c r="F4" s="1344" t="s">
        <v>39</v>
      </c>
      <c r="G4" s="1344"/>
      <c r="H4" s="1344"/>
      <c r="I4" s="1344"/>
      <c r="J4" s="1344"/>
      <c r="K4" s="1344"/>
      <c r="L4" s="1344"/>
      <c r="M4" s="1344"/>
      <c r="N4" s="1344"/>
      <c r="O4" s="1344"/>
      <c r="P4" s="1344"/>
      <c r="Q4" s="1344"/>
      <c r="R4" s="32"/>
      <c r="S4" s="1345" t="s">
        <v>7</v>
      </c>
      <c r="T4" s="1345"/>
      <c r="U4" s="1346"/>
    </row>
    <row r="5" spans="1:29" ht="15" thickBot="1" x14ac:dyDescent="0.35">
      <c r="R5" s="7"/>
      <c r="S5" s="1347" t="s">
        <v>8</v>
      </c>
      <c r="T5" s="1345"/>
      <c r="U5" s="1346"/>
    </row>
    <row r="6" spans="1:29" ht="15" thickBot="1" x14ac:dyDescent="0.35">
      <c r="S6" s="13"/>
      <c r="T6" s="13"/>
      <c r="U6" s="13"/>
    </row>
    <row r="7" spans="1:29" ht="15" thickBot="1" x14ac:dyDescent="0.35">
      <c r="B7" s="10" t="s">
        <v>9</v>
      </c>
      <c r="C7" s="11" t="s">
        <v>10</v>
      </c>
      <c r="D7" s="12" t="s">
        <v>11</v>
      </c>
      <c r="E7" s="14" t="s">
        <v>12</v>
      </c>
      <c r="F7" s="15" t="s">
        <v>13</v>
      </c>
      <c r="G7" s="15" t="s">
        <v>14</v>
      </c>
      <c r="H7" s="16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29" t="s">
        <v>20</v>
      </c>
      <c r="V7" s="30" t="s">
        <v>21</v>
      </c>
      <c r="W7" s="31" t="s">
        <v>22</v>
      </c>
      <c r="X7" t="s">
        <v>23</v>
      </c>
      <c r="Z7">
        <v>2700</v>
      </c>
      <c r="AA7">
        <v>0.3</v>
      </c>
      <c r="AB7">
        <f>Z7*AA7</f>
        <v>810</v>
      </c>
      <c r="AC7">
        <f>Z7-AB7</f>
        <v>1890</v>
      </c>
    </row>
    <row r="8" spans="1:29" s="194" customFormat="1" ht="28.2" x14ac:dyDescent="0.3">
      <c r="A8" s="208" t="s">
        <v>136</v>
      </c>
      <c r="B8" s="290"/>
      <c r="C8" s="103" t="s">
        <v>114</v>
      </c>
      <c r="D8" s="104" t="s">
        <v>67</v>
      </c>
      <c r="E8" s="264" t="s">
        <v>54</v>
      </c>
      <c r="F8" s="265">
        <v>1450</v>
      </c>
      <c r="G8" s="264" t="s">
        <v>68</v>
      </c>
      <c r="H8" s="266">
        <v>45653</v>
      </c>
      <c r="I8" s="265">
        <v>2990</v>
      </c>
      <c r="J8" s="266">
        <v>45653</v>
      </c>
      <c r="K8" s="264" t="s">
        <v>68</v>
      </c>
      <c r="L8" s="265">
        <v>2390</v>
      </c>
      <c r="M8" s="267">
        <v>45653</v>
      </c>
      <c r="N8" s="105" t="s">
        <v>68</v>
      </c>
      <c r="O8" s="300">
        <v>3900</v>
      </c>
      <c r="P8" s="267">
        <v>45803</v>
      </c>
      <c r="Q8" s="105">
        <v>8.5902324770314592E+16</v>
      </c>
      <c r="R8" s="243">
        <v>3085</v>
      </c>
      <c r="S8" s="235">
        <v>45887</v>
      </c>
      <c r="T8" s="102">
        <v>784769</v>
      </c>
      <c r="U8" s="105" t="s">
        <v>316</v>
      </c>
      <c r="V8" s="111">
        <v>0.25</v>
      </c>
      <c r="W8" s="106">
        <v>1995</v>
      </c>
      <c r="X8" s="207"/>
      <c r="Z8" s="194">
        <v>3108.8</v>
      </c>
      <c r="AA8" s="194">
        <v>0.3</v>
      </c>
      <c r="AB8">
        <f>Z8*AA8</f>
        <v>932.64</v>
      </c>
      <c r="AC8">
        <f>Z8-AB8</f>
        <v>2176.1600000000003</v>
      </c>
    </row>
    <row r="9" spans="1:29" s="194" customFormat="1" ht="28.2" thickBot="1" x14ac:dyDescent="0.35">
      <c r="A9" s="208" t="s">
        <v>221</v>
      </c>
      <c r="B9" s="287"/>
      <c r="C9" s="138" t="s">
        <v>114</v>
      </c>
      <c r="D9" s="104" t="s">
        <v>220</v>
      </c>
      <c r="E9" s="105" t="s">
        <v>201</v>
      </c>
      <c r="F9" s="107">
        <v>1450</v>
      </c>
      <c r="G9" s="231">
        <v>5020242</v>
      </c>
      <c r="H9" s="108">
        <v>45853</v>
      </c>
      <c r="I9" s="107">
        <v>2990</v>
      </c>
      <c r="J9" s="235">
        <v>45853</v>
      </c>
      <c r="K9" s="109">
        <v>5020242</v>
      </c>
      <c r="L9" s="107">
        <v>2390</v>
      </c>
      <c r="M9" s="235">
        <v>45853</v>
      </c>
      <c r="N9" s="231">
        <v>5020242</v>
      </c>
      <c r="O9" s="107">
        <v>4400</v>
      </c>
      <c r="P9" s="235"/>
      <c r="Q9" s="109"/>
      <c r="R9" s="243"/>
      <c r="S9" s="235"/>
      <c r="T9" s="102"/>
      <c r="U9" s="110" t="s">
        <v>316</v>
      </c>
      <c r="V9" s="113">
        <v>0.25</v>
      </c>
      <c r="W9" s="107">
        <v>1995</v>
      </c>
      <c r="X9" s="195"/>
      <c r="AB9"/>
      <c r="AC9"/>
    </row>
    <row r="10" spans="1:29" s="194" customFormat="1" ht="33" customHeight="1" thickBot="1" x14ac:dyDescent="0.35">
      <c r="A10" s="208" t="s">
        <v>229</v>
      </c>
      <c r="B10" s="248"/>
      <c r="C10" s="138" t="s">
        <v>114</v>
      </c>
      <c r="D10" s="104" t="s">
        <v>228</v>
      </c>
      <c r="E10" s="105" t="s">
        <v>201</v>
      </c>
      <c r="F10" s="107">
        <v>1450</v>
      </c>
      <c r="G10" s="102" t="s">
        <v>230</v>
      </c>
      <c r="H10" s="108">
        <v>45847</v>
      </c>
      <c r="I10" s="107">
        <v>2990</v>
      </c>
      <c r="J10" s="108">
        <v>45847</v>
      </c>
      <c r="K10" s="109" t="s">
        <v>230</v>
      </c>
      <c r="L10" s="107">
        <v>2390</v>
      </c>
      <c r="M10" s="235">
        <v>45847</v>
      </c>
      <c r="N10" s="109" t="s">
        <v>230</v>
      </c>
      <c r="O10" s="107">
        <v>4400</v>
      </c>
      <c r="P10" s="108">
        <v>45847</v>
      </c>
      <c r="Q10" s="109" t="s">
        <v>230</v>
      </c>
      <c r="R10" s="243">
        <v>3085</v>
      </c>
      <c r="S10" s="235">
        <v>45847</v>
      </c>
      <c r="T10" s="102" t="s">
        <v>230</v>
      </c>
      <c r="U10" s="110" t="s">
        <v>23</v>
      </c>
      <c r="V10" s="113">
        <v>0.35</v>
      </c>
      <c r="W10" s="107">
        <v>2223</v>
      </c>
      <c r="X10" s="195"/>
    </row>
    <row r="11" spans="1:29" s="196" customFormat="1" ht="28.2" thickBot="1" x14ac:dyDescent="0.35">
      <c r="A11" s="189" t="s">
        <v>357</v>
      </c>
      <c r="B11" s="248"/>
      <c r="C11" s="187" t="s">
        <v>114</v>
      </c>
      <c r="D11" s="104" t="s">
        <v>356</v>
      </c>
      <c r="E11" s="105" t="s">
        <v>201</v>
      </c>
      <c r="F11" s="114"/>
      <c r="G11" s="117"/>
      <c r="H11" s="115"/>
      <c r="I11" s="114"/>
      <c r="J11" s="115"/>
      <c r="K11" s="117"/>
      <c r="L11" s="114"/>
      <c r="M11" s="115"/>
      <c r="N11" s="117"/>
      <c r="O11" s="114"/>
      <c r="P11" s="115"/>
      <c r="Q11" s="117"/>
      <c r="R11" s="114"/>
      <c r="S11" s="115"/>
      <c r="T11" s="117"/>
      <c r="U11" s="117"/>
      <c r="V11" s="190"/>
      <c r="W11" s="114"/>
    </row>
    <row r="12" spans="1:29" s="194" customFormat="1" ht="27.6" x14ac:dyDescent="0.3">
      <c r="A12" s="208" t="s">
        <v>383</v>
      </c>
      <c r="B12" s="287"/>
      <c r="C12" s="197" t="s">
        <v>114</v>
      </c>
      <c r="D12" s="104" t="s">
        <v>400</v>
      </c>
      <c r="E12" s="242" t="s">
        <v>201</v>
      </c>
      <c r="F12" s="107" t="s">
        <v>66</v>
      </c>
      <c r="G12" s="110" t="s">
        <v>66</v>
      </c>
      <c r="H12" s="108">
        <v>45897</v>
      </c>
      <c r="I12" s="414">
        <v>500</v>
      </c>
      <c r="J12" s="108">
        <v>45897</v>
      </c>
      <c r="K12" s="110">
        <v>2808250</v>
      </c>
      <c r="L12" s="107" t="s">
        <v>66</v>
      </c>
      <c r="M12" s="108">
        <v>45897</v>
      </c>
      <c r="N12" s="110" t="s">
        <v>66</v>
      </c>
      <c r="O12" s="107">
        <v>2200</v>
      </c>
      <c r="P12" s="108">
        <v>45905</v>
      </c>
      <c r="Q12" s="110">
        <v>1375802219</v>
      </c>
      <c r="R12" s="110"/>
      <c r="S12" s="108"/>
      <c r="T12" s="110"/>
      <c r="U12" s="110" t="s">
        <v>316</v>
      </c>
      <c r="V12" s="113">
        <v>0.3</v>
      </c>
      <c r="W12" s="107">
        <v>1995</v>
      </c>
    </row>
    <row r="13" spans="1:29" s="194" customFormat="1" x14ac:dyDescent="0.3">
      <c r="A13" s="208"/>
      <c r="B13" s="287"/>
      <c r="C13" s="197"/>
      <c r="D13" s="104"/>
      <c r="F13" s="107"/>
      <c r="G13" s="110"/>
      <c r="H13" s="108"/>
      <c r="I13" s="107"/>
      <c r="J13" s="108"/>
      <c r="K13" s="110"/>
      <c r="L13" s="110"/>
      <c r="M13" s="108"/>
      <c r="N13" s="110"/>
      <c r="O13" s="107"/>
      <c r="P13" s="108"/>
      <c r="Q13" s="110"/>
      <c r="R13" s="110"/>
      <c r="S13" s="108"/>
      <c r="T13" s="110"/>
      <c r="U13" s="110"/>
      <c r="V13" s="113"/>
      <c r="W13" s="107"/>
    </row>
    <row r="14" spans="1:29" s="194" customFormat="1" x14ac:dyDescent="0.3">
      <c r="A14" s="208"/>
      <c r="B14" s="287"/>
      <c r="C14" s="197"/>
      <c r="D14" s="193"/>
      <c r="E14" s="242"/>
      <c r="F14" s="107"/>
      <c r="G14" s="110"/>
      <c r="H14" s="108"/>
      <c r="I14" s="1356"/>
      <c r="J14" s="1357"/>
      <c r="K14" s="1358"/>
      <c r="L14" s="107"/>
      <c r="M14" s="108"/>
      <c r="N14" s="192"/>
      <c r="O14" s="107"/>
      <c r="P14" s="108"/>
      <c r="Q14" s="110"/>
      <c r="R14" s="110"/>
      <c r="S14" s="108"/>
      <c r="T14" s="110"/>
      <c r="U14" s="110"/>
      <c r="V14" s="113"/>
      <c r="W14" s="107"/>
    </row>
    <row r="18" spans="1:41" ht="15" thickBot="1" x14ac:dyDescent="0.35"/>
    <row r="19" spans="1:41" ht="18" thickBot="1" x14ac:dyDescent="0.35">
      <c r="B19" s="1351" t="s">
        <v>24</v>
      </c>
      <c r="C19" s="1352"/>
      <c r="D19" s="1352"/>
      <c r="E19" s="1352"/>
      <c r="F19" s="1352"/>
      <c r="G19" s="1352"/>
      <c r="H19" s="1352"/>
      <c r="I19" s="1352"/>
      <c r="J19" s="1352"/>
      <c r="K19" s="1352"/>
      <c r="L19" s="1352"/>
      <c r="M19" s="1352"/>
      <c r="N19" s="1352"/>
      <c r="O19" s="1352"/>
      <c r="P19" s="1352"/>
      <c r="Q19" s="1352"/>
      <c r="R19" s="1352"/>
      <c r="S19" s="1352"/>
      <c r="T19" s="1352"/>
      <c r="U19" s="1352"/>
      <c r="V19" s="1352"/>
      <c r="W19" s="1352"/>
      <c r="X19" s="1352"/>
      <c r="Y19" s="1352"/>
      <c r="Z19" s="1352"/>
      <c r="AA19" s="1352"/>
      <c r="AB19" s="1352"/>
      <c r="AC19" s="1352"/>
      <c r="AD19" s="1352"/>
      <c r="AE19" s="1352"/>
      <c r="AF19" s="1352"/>
      <c r="AG19" s="1352"/>
      <c r="AH19" s="1352"/>
      <c r="AI19" s="1352"/>
      <c r="AJ19" s="1352"/>
      <c r="AK19" s="1352"/>
      <c r="AL19" s="1352"/>
      <c r="AM19" s="1352"/>
      <c r="AN19" s="1353"/>
    </row>
    <row r="20" spans="1:41" ht="15" thickBot="1" x14ac:dyDescent="0.35">
      <c r="B20" s="101" t="s">
        <v>9</v>
      </c>
      <c r="C20" s="202" t="s">
        <v>10</v>
      </c>
      <c r="D20" s="202" t="s">
        <v>11</v>
      </c>
      <c r="E20" s="1339" t="s">
        <v>25</v>
      </c>
      <c r="F20" s="1340"/>
      <c r="G20" s="1341"/>
      <c r="H20" s="1342" t="s">
        <v>26</v>
      </c>
      <c r="I20" s="1342"/>
      <c r="J20" s="1342"/>
      <c r="K20" s="1339" t="s">
        <v>27</v>
      </c>
      <c r="L20" s="1340"/>
      <c r="M20" s="1341"/>
      <c r="N20" s="1342" t="s">
        <v>28</v>
      </c>
      <c r="O20" s="1342"/>
      <c r="P20" s="1342"/>
      <c r="Q20" s="1339" t="s">
        <v>29</v>
      </c>
      <c r="R20" s="1340"/>
      <c r="S20" s="1341"/>
      <c r="T20" s="1342" t="s">
        <v>30</v>
      </c>
      <c r="U20" s="1342"/>
      <c r="V20" s="1342"/>
      <c r="W20" s="1339" t="s">
        <v>36</v>
      </c>
      <c r="X20" s="1340"/>
      <c r="Y20" s="1341"/>
      <c r="Z20" s="1342" t="s">
        <v>31</v>
      </c>
      <c r="AA20" s="1342"/>
      <c r="AB20" s="1342"/>
      <c r="AC20" s="1339" t="s">
        <v>32</v>
      </c>
      <c r="AD20" s="1340"/>
      <c r="AE20" s="1341"/>
      <c r="AF20" s="1342" t="s">
        <v>33</v>
      </c>
      <c r="AG20" s="1342"/>
      <c r="AH20" s="1342"/>
      <c r="AI20" s="1339" t="s">
        <v>34</v>
      </c>
      <c r="AJ20" s="1340"/>
      <c r="AK20" s="1341"/>
      <c r="AL20" s="1342" t="s">
        <v>35</v>
      </c>
      <c r="AM20" s="1342"/>
      <c r="AN20" s="1343"/>
    </row>
    <row r="21" spans="1:41" ht="15" thickBot="1" x14ac:dyDescent="0.35">
      <c r="B21" s="47"/>
      <c r="C21" s="48"/>
      <c r="D21" s="203"/>
      <c r="E21" s="49" t="s">
        <v>37</v>
      </c>
      <c r="F21" s="50" t="s">
        <v>15</v>
      </c>
      <c r="G21" s="51" t="s">
        <v>14</v>
      </c>
      <c r="H21" s="50" t="s">
        <v>37</v>
      </c>
      <c r="I21" s="50" t="s">
        <v>15</v>
      </c>
      <c r="J21" s="50" t="s">
        <v>14</v>
      </c>
      <c r="K21" s="49" t="s">
        <v>37</v>
      </c>
      <c r="L21" s="50" t="s">
        <v>15</v>
      </c>
      <c r="M21" s="51" t="s">
        <v>14</v>
      </c>
      <c r="N21" s="50" t="s">
        <v>37</v>
      </c>
      <c r="O21" s="50" t="s">
        <v>15</v>
      </c>
      <c r="P21" s="50" t="s">
        <v>14</v>
      </c>
      <c r="Q21" s="49" t="s">
        <v>37</v>
      </c>
      <c r="R21" s="50" t="s">
        <v>15</v>
      </c>
      <c r="S21" s="51" t="s">
        <v>14</v>
      </c>
      <c r="T21" s="50" t="s">
        <v>37</v>
      </c>
      <c r="U21" s="50" t="s">
        <v>15</v>
      </c>
      <c r="V21" s="50" t="s">
        <v>14</v>
      </c>
      <c r="W21" s="49" t="s">
        <v>37</v>
      </c>
      <c r="X21" s="50" t="s">
        <v>15</v>
      </c>
      <c r="Y21" s="51" t="s">
        <v>14</v>
      </c>
      <c r="Z21" s="50" t="s">
        <v>37</v>
      </c>
      <c r="AA21" s="50" t="s">
        <v>15</v>
      </c>
      <c r="AB21" s="50" t="s">
        <v>14</v>
      </c>
      <c r="AC21" s="49" t="s">
        <v>37</v>
      </c>
      <c r="AD21" s="50" t="s">
        <v>15</v>
      </c>
      <c r="AE21" s="51" t="s">
        <v>14</v>
      </c>
      <c r="AF21" s="50" t="s">
        <v>37</v>
      </c>
      <c r="AG21" s="50" t="s">
        <v>15</v>
      </c>
      <c r="AH21" s="50" t="s">
        <v>14</v>
      </c>
      <c r="AI21" s="49" t="s">
        <v>37</v>
      </c>
      <c r="AJ21" s="50" t="s">
        <v>15</v>
      </c>
      <c r="AK21" s="51" t="s">
        <v>14</v>
      </c>
      <c r="AL21" s="50" t="s">
        <v>37</v>
      </c>
      <c r="AM21" s="50" t="s">
        <v>15</v>
      </c>
      <c r="AN21" s="51" t="s">
        <v>14</v>
      </c>
    </row>
    <row r="22" spans="1:41" s="194" customFormat="1" ht="25.8" customHeight="1" x14ac:dyDescent="0.3">
      <c r="A22" s="208"/>
      <c r="B22" s="285"/>
      <c r="C22" s="132"/>
      <c r="D22" s="104" t="str">
        <f>D8</f>
        <v>DANAE GARCÍA JIMÉNEZ</v>
      </c>
      <c r="E22" s="350"/>
      <c r="F22" s="351"/>
      <c r="G22" s="352"/>
      <c r="H22" s="135">
        <v>1995</v>
      </c>
      <c r="I22" s="133">
        <v>45904</v>
      </c>
      <c r="J22" s="134" t="s">
        <v>440</v>
      </c>
      <c r="K22" s="135">
        <v>1995</v>
      </c>
      <c r="L22" s="133">
        <v>45933</v>
      </c>
      <c r="M22" s="134">
        <v>8.59077850403276E+16</v>
      </c>
      <c r="N22" s="135">
        <v>1995</v>
      </c>
      <c r="O22" s="133">
        <v>45966</v>
      </c>
      <c r="P22" s="134">
        <v>8.5901977320330896E+16</v>
      </c>
      <c r="Q22" s="135">
        <v>1995</v>
      </c>
      <c r="R22" s="133">
        <v>45996</v>
      </c>
      <c r="S22" s="134">
        <v>95876545</v>
      </c>
      <c r="T22" s="135">
        <v>1995</v>
      </c>
      <c r="U22" s="133">
        <v>46027</v>
      </c>
      <c r="V22" s="134">
        <v>8.5907935170300496E+16</v>
      </c>
      <c r="W22" s="135">
        <v>1995</v>
      </c>
      <c r="X22" s="133">
        <v>45993</v>
      </c>
      <c r="Y22" s="134">
        <v>8.5902321250333504E+16</v>
      </c>
      <c r="Z22" s="135">
        <v>1995</v>
      </c>
      <c r="AA22" s="136">
        <v>46057</v>
      </c>
      <c r="AB22" s="137">
        <v>8.5907052630301904E+16</v>
      </c>
      <c r="AC22" s="135">
        <v>1995</v>
      </c>
      <c r="AD22" s="136">
        <v>46066</v>
      </c>
      <c r="AE22" s="137">
        <v>8.59036563703044E+16</v>
      </c>
      <c r="AF22" s="135">
        <v>1995</v>
      </c>
      <c r="AG22" s="136">
        <v>46099</v>
      </c>
      <c r="AH22" s="134">
        <v>8.5906684990307696E+16</v>
      </c>
      <c r="AI22" s="135">
        <v>1995</v>
      </c>
      <c r="AJ22" s="136">
        <v>46146</v>
      </c>
      <c r="AK22" s="134">
        <v>960913</v>
      </c>
      <c r="AL22" s="135">
        <v>1995</v>
      </c>
      <c r="AM22" s="136">
        <v>46176</v>
      </c>
      <c r="AN22" s="134">
        <v>560315466</v>
      </c>
      <c r="AO22" s="194" t="s">
        <v>816</v>
      </c>
    </row>
    <row r="23" spans="1:41" s="194" customFormat="1" ht="27.6" x14ac:dyDescent="0.3">
      <c r="A23" s="208"/>
      <c r="B23" s="286"/>
      <c r="C23" s="138"/>
      <c r="D23" s="104" t="str">
        <f t="shared" ref="D23:D24" si="0">D9</f>
        <v>SARA ANALI CRUZ PORTILLA</v>
      </c>
      <c r="E23" s="301"/>
      <c r="F23" s="302"/>
      <c r="G23" s="303"/>
      <c r="H23" s="142">
        <v>1995</v>
      </c>
      <c r="I23" s="140">
        <v>45903</v>
      </c>
      <c r="J23" s="141" t="s">
        <v>437</v>
      </c>
      <c r="K23" s="142">
        <v>1995</v>
      </c>
      <c r="L23" s="140">
        <v>45935</v>
      </c>
      <c r="M23" s="141" t="s">
        <v>453</v>
      </c>
      <c r="N23" s="142">
        <v>1995</v>
      </c>
      <c r="O23" s="140">
        <v>45966</v>
      </c>
      <c r="P23" s="141">
        <v>8.59022767403316E+16</v>
      </c>
      <c r="Q23" s="142">
        <v>1995</v>
      </c>
      <c r="R23" s="140">
        <v>45996</v>
      </c>
      <c r="S23" s="141">
        <v>8.5909042900336496E+16</v>
      </c>
      <c r="T23" s="142">
        <v>1995</v>
      </c>
      <c r="U23" s="140">
        <v>46083</v>
      </c>
      <c r="V23" s="141">
        <v>8948427</v>
      </c>
      <c r="W23" s="333"/>
      <c r="X23" s="302"/>
      <c r="Y23" s="303"/>
      <c r="Z23" s="142">
        <v>1995</v>
      </c>
      <c r="AA23" s="140">
        <v>46098</v>
      </c>
      <c r="AB23" s="144">
        <v>8.59062505803076E+16</v>
      </c>
      <c r="AC23" s="142">
        <v>1995</v>
      </c>
      <c r="AD23" s="140">
        <v>46098</v>
      </c>
      <c r="AE23" s="144">
        <v>8.59062505803076E+16</v>
      </c>
      <c r="AF23" s="142">
        <v>1995</v>
      </c>
      <c r="AG23" s="140">
        <v>46116</v>
      </c>
      <c r="AH23" s="141">
        <v>8.5900881760309408E+16</v>
      </c>
      <c r="AI23" s="142">
        <v>1995</v>
      </c>
      <c r="AJ23" s="140">
        <v>46116</v>
      </c>
      <c r="AK23" s="141">
        <v>8.5900881760309408E+16</v>
      </c>
      <c r="AL23" s="142">
        <v>2395</v>
      </c>
      <c r="AM23" s="140">
        <v>46182</v>
      </c>
      <c r="AN23" s="141">
        <v>70466355</v>
      </c>
      <c r="AO23" s="194" t="s">
        <v>816</v>
      </c>
    </row>
    <row r="24" spans="1:41" s="194" customFormat="1" ht="15" hidden="1" thickBot="1" x14ac:dyDescent="0.35">
      <c r="A24" s="208"/>
      <c r="B24" s="248"/>
      <c r="C24" s="138"/>
      <c r="D24" s="378" t="str">
        <f t="shared" si="0"/>
        <v>JOHANA CRUZ MURGIA</v>
      </c>
      <c r="E24" s="301"/>
      <c r="F24" s="302"/>
      <c r="G24" s="303"/>
      <c r="H24" s="142">
        <v>2223</v>
      </c>
      <c r="I24" s="140">
        <v>45905</v>
      </c>
      <c r="J24" s="141" t="s">
        <v>72</v>
      </c>
      <c r="K24" s="142">
        <v>2223</v>
      </c>
      <c r="L24" s="140">
        <v>45935</v>
      </c>
      <c r="M24" s="141" t="s">
        <v>72</v>
      </c>
      <c r="N24" s="142">
        <v>2223</v>
      </c>
      <c r="O24" s="140">
        <v>45966</v>
      </c>
      <c r="P24" s="141">
        <v>644668</v>
      </c>
      <c r="Q24" s="142">
        <v>2223</v>
      </c>
      <c r="R24" s="140">
        <v>45995</v>
      </c>
      <c r="S24" s="141">
        <v>37195</v>
      </c>
      <c r="T24" s="333"/>
      <c r="U24" s="302"/>
      <c r="V24" s="303"/>
      <c r="W24" s="333"/>
      <c r="X24" s="302"/>
      <c r="Y24" s="303"/>
      <c r="Z24" s="333"/>
      <c r="AA24" s="302"/>
      <c r="AB24" s="334"/>
      <c r="AC24" s="333"/>
      <c r="AD24" s="302"/>
      <c r="AE24" s="334"/>
      <c r="AF24" s="333"/>
      <c r="AG24" s="302"/>
      <c r="AH24" s="303"/>
      <c r="AI24" s="399"/>
      <c r="AJ24" s="400"/>
      <c r="AK24" s="412"/>
      <c r="AL24" s="142"/>
      <c r="AM24" s="140"/>
      <c r="AN24" s="141"/>
    </row>
    <row r="25" spans="1:41" s="194" customFormat="1" ht="27.6" x14ac:dyDescent="0.3">
      <c r="A25" s="208"/>
      <c r="B25" s="285"/>
      <c r="C25" s="138"/>
      <c r="D25" s="104" t="str">
        <f>D12</f>
        <v>AITANA REBECA FERNÁNDEZ CRUZ</v>
      </c>
      <c r="E25" s="301"/>
      <c r="F25" s="302"/>
      <c r="G25" s="303"/>
      <c r="H25" s="142">
        <v>1995</v>
      </c>
      <c r="I25" s="140">
        <v>45905</v>
      </c>
      <c r="J25" s="141">
        <v>1375789930</v>
      </c>
      <c r="K25" s="142">
        <v>1995</v>
      </c>
      <c r="L25" s="140">
        <v>45934</v>
      </c>
      <c r="M25" s="141">
        <v>1470769624</v>
      </c>
      <c r="N25" s="142">
        <v>1995</v>
      </c>
      <c r="O25" s="140">
        <v>45964</v>
      </c>
      <c r="P25" s="141">
        <v>1595590764</v>
      </c>
      <c r="Q25" s="142">
        <v>1995</v>
      </c>
      <c r="R25" s="140">
        <v>45997</v>
      </c>
      <c r="S25" s="141">
        <v>61225</v>
      </c>
      <c r="T25" s="142">
        <v>1995</v>
      </c>
      <c r="U25" s="390">
        <v>46026</v>
      </c>
      <c r="V25" s="141">
        <v>1401261</v>
      </c>
      <c r="W25" s="333"/>
      <c r="X25" s="302"/>
      <c r="Y25" s="303"/>
      <c r="Z25" s="142">
        <v>1995</v>
      </c>
      <c r="AA25" s="140">
        <v>46056</v>
      </c>
      <c r="AB25" s="141">
        <v>302262</v>
      </c>
      <c r="AC25" s="142">
        <v>1995</v>
      </c>
      <c r="AD25" s="140">
        <v>46105</v>
      </c>
      <c r="AE25" s="144">
        <v>2403260</v>
      </c>
      <c r="AF25" s="142">
        <v>1995</v>
      </c>
      <c r="AG25" s="140">
        <v>46124</v>
      </c>
      <c r="AH25" s="141">
        <v>55332306</v>
      </c>
      <c r="AI25" s="142">
        <v>1995</v>
      </c>
      <c r="AJ25" s="140">
        <v>46154</v>
      </c>
      <c r="AK25" s="141">
        <v>120526</v>
      </c>
      <c r="AL25" s="142">
        <v>1995</v>
      </c>
      <c r="AM25" s="140">
        <v>46174</v>
      </c>
      <c r="AN25" s="141">
        <v>253194906</v>
      </c>
      <c r="AO25" s="194" t="s">
        <v>819</v>
      </c>
    </row>
    <row r="26" spans="1:41" s="194" customFormat="1" x14ac:dyDescent="0.3">
      <c r="A26" s="208"/>
      <c r="B26" s="286"/>
      <c r="C26" s="138"/>
      <c r="D26" s="104"/>
      <c r="E26" s="142"/>
      <c r="F26" s="140"/>
      <c r="G26" s="145"/>
      <c r="H26" s="142"/>
      <c r="I26" s="140"/>
      <c r="J26" s="141"/>
      <c r="K26" s="142"/>
      <c r="L26" s="140"/>
      <c r="M26" s="141"/>
      <c r="N26" s="142"/>
      <c r="O26" s="140"/>
      <c r="P26" s="141"/>
      <c r="Q26" s="142"/>
      <c r="R26" s="140"/>
      <c r="S26" s="144"/>
      <c r="T26" s="142"/>
      <c r="U26" s="140"/>
      <c r="V26" s="144"/>
      <c r="W26" s="142"/>
      <c r="X26" s="140"/>
      <c r="Y26" s="141"/>
      <c r="Z26" s="142"/>
      <c r="AA26" s="140"/>
      <c r="AB26" s="144"/>
      <c r="AC26" s="142"/>
      <c r="AD26" s="140"/>
      <c r="AE26" s="144"/>
      <c r="AF26" s="142"/>
      <c r="AG26" s="140"/>
      <c r="AH26" s="144"/>
      <c r="AI26" s="142"/>
      <c r="AJ26" s="140"/>
      <c r="AK26" s="144"/>
      <c r="AL26" s="142"/>
      <c r="AM26" s="140"/>
      <c r="AN26" s="141"/>
    </row>
    <row r="27" spans="1:41" s="194" customFormat="1" x14ac:dyDescent="0.3">
      <c r="A27" s="208"/>
      <c r="B27" s="285"/>
      <c r="C27" s="138"/>
      <c r="D27" s="104"/>
      <c r="E27" s="142"/>
      <c r="F27" s="140"/>
      <c r="G27" s="145"/>
      <c r="H27" s="142"/>
      <c r="I27" s="140"/>
      <c r="J27" s="141"/>
      <c r="K27" s="142"/>
      <c r="L27" s="140"/>
      <c r="M27" s="141"/>
      <c r="N27" s="142"/>
      <c r="O27" s="140"/>
      <c r="P27" s="141"/>
      <c r="Q27" s="142"/>
      <c r="R27" s="140"/>
      <c r="S27" s="141"/>
      <c r="T27" s="142"/>
      <c r="U27" s="140"/>
      <c r="V27" s="141"/>
      <c r="W27" s="142"/>
      <c r="X27" s="140"/>
      <c r="Y27" s="146"/>
      <c r="Z27" s="142"/>
      <c r="AA27" s="140"/>
      <c r="AB27" s="144"/>
      <c r="AC27" s="142"/>
      <c r="AD27" s="140"/>
      <c r="AE27" s="144"/>
      <c r="AF27" s="142"/>
      <c r="AG27" s="140"/>
      <c r="AH27" s="144"/>
      <c r="AI27" s="142"/>
      <c r="AJ27" s="140"/>
      <c r="AK27" s="144"/>
      <c r="AL27" s="142"/>
      <c r="AM27" s="140"/>
      <c r="AN27" s="141"/>
    </row>
    <row r="28" spans="1:41" s="194" customFormat="1" ht="32.25" customHeight="1" x14ac:dyDescent="0.3">
      <c r="A28" s="208"/>
      <c r="B28" s="286"/>
      <c r="C28" s="138"/>
      <c r="D28" s="204"/>
      <c r="E28" s="142"/>
      <c r="F28" s="140"/>
      <c r="G28" s="141"/>
      <c r="H28" s="142"/>
      <c r="I28" s="140"/>
      <c r="J28" s="141"/>
      <c r="K28" s="142"/>
      <c r="L28" s="140"/>
      <c r="M28" s="141"/>
      <c r="N28" s="142"/>
      <c r="O28" s="140"/>
      <c r="P28" s="141"/>
      <c r="Q28" s="142"/>
      <c r="R28" s="140"/>
      <c r="S28" s="141"/>
      <c r="T28" s="142"/>
      <c r="U28" s="140"/>
      <c r="V28" s="141"/>
      <c r="W28" s="142"/>
      <c r="X28" s="140"/>
      <c r="Y28" s="141"/>
      <c r="Z28" s="142"/>
      <c r="AA28" s="140"/>
      <c r="AB28" s="144"/>
      <c r="AC28" s="142"/>
      <c r="AD28" s="140"/>
      <c r="AE28" s="144"/>
      <c r="AF28" s="142"/>
      <c r="AG28" s="140"/>
      <c r="AH28" s="144"/>
      <c r="AI28" s="142"/>
      <c r="AJ28" s="140"/>
      <c r="AK28" s="144"/>
      <c r="AL28" s="142"/>
      <c r="AM28" s="140"/>
      <c r="AN28" s="144"/>
    </row>
    <row r="29" spans="1:41" s="194" customFormat="1" ht="28.5" customHeight="1" x14ac:dyDescent="0.3">
      <c r="A29" s="208"/>
      <c r="B29" s="285"/>
      <c r="C29" s="138"/>
      <c r="D29" s="204"/>
      <c r="E29" s="142"/>
      <c r="F29" s="140"/>
      <c r="G29" s="141"/>
      <c r="H29" s="142"/>
      <c r="I29" s="140"/>
      <c r="J29" s="141"/>
      <c r="K29" s="142"/>
      <c r="L29" s="140"/>
      <c r="M29" s="141"/>
      <c r="N29" s="142"/>
      <c r="O29" s="140"/>
      <c r="P29" s="141"/>
      <c r="Q29" s="142"/>
      <c r="R29" s="140"/>
      <c r="S29" s="141"/>
      <c r="T29" s="142"/>
      <c r="U29" s="140"/>
      <c r="V29" s="144"/>
      <c r="W29" s="142"/>
      <c r="X29" s="140"/>
      <c r="Y29" s="141"/>
      <c r="Z29" s="142"/>
      <c r="AA29" s="140"/>
      <c r="AB29" s="144"/>
      <c r="AC29" s="142"/>
      <c r="AD29" s="140"/>
      <c r="AE29" s="144"/>
      <c r="AF29" s="142"/>
      <c r="AG29" s="140"/>
      <c r="AH29" s="144"/>
      <c r="AI29" s="142"/>
      <c r="AJ29" s="140"/>
      <c r="AK29" s="144"/>
      <c r="AL29" s="142"/>
      <c r="AM29" s="140"/>
      <c r="AN29" s="144"/>
    </row>
    <row r="30" spans="1:41" s="194" customFormat="1" x14ac:dyDescent="0.3">
      <c r="A30" s="208"/>
      <c r="B30" s="286"/>
      <c r="C30" s="138"/>
      <c r="D30" s="204"/>
      <c r="E30" s="142"/>
      <c r="F30" s="140"/>
      <c r="G30" s="144"/>
      <c r="H30" s="142"/>
      <c r="I30" s="140"/>
      <c r="J30" s="141"/>
      <c r="K30" s="142"/>
      <c r="L30" s="140"/>
      <c r="M30" s="141"/>
      <c r="N30" s="142"/>
      <c r="O30" s="140"/>
      <c r="P30" s="141"/>
      <c r="Q30" s="142"/>
      <c r="R30" s="140"/>
      <c r="S30" s="141"/>
      <c r="T30" s="142"/>
      <c r="U30" s="140"/>
      <c r="V30" s="144"/>
      <c r="W30" s="142"/>
      <c r="X30" s="140"/>
      <c r="Y30" s="141"/>
      <c r="Z30" s="142"/>
      <c r="AA30" s="140"/>
      <c r="AB30" s="144"/>
      <c r="AC30" s="142"/>
      <c r="AD30" s="140"/>
      <c r="AE30" s="144"/>
      <c r="AF30" s="142"/>
      <c r="AG30" s="140"/>
      <c r="AH30" s="144"/>
      <c r="AI30" s="142"/>
      <c r="AJ30" s="140"/>
      <c r="AK30" s="144"/>
      <c r="AL30" s="142"/>
      <c r="AM30" s="140"/>
      <c r="AN30" s="144"/>
    </row>
    <row r="31" spans="1:41" s="194" customFormat="1" x14ac:dyDescent="0.3">
      <c r="A31" s="208"/>
      <c r="B31" s="285"/>
      <c r="C31" s="138"/>
      <c r="D31" s="204"/>
      <c r="E31" s="142"/>
      <c r="F31" s="140"/>
      <c r="G31" s="144"/>
      <c r="H31" s="142"/>
      <c r="I31" s="140"/>
      <c r="J31" s="141"/>
      <c r="K31" s="142"/>
      <c r="L31" s="140"/>
      <c r="M31" s="141"/>
      <c r="N31" s="142"/>
      <c r="O31" s="140"/>
      <c r="P31" s="141"/>
      <c r="Q31" s="142"/>
      <c r="R31" s="140"/>
      <c r="S31" s="141"/>
      <c r="T31" s="142"/>
      <c r="U31" s="140"/>
      <c r="V31" s="144"/>
      <c r="W31" s="142"/>
      <c r="X31" s="140"/>
      <c r="Y31" s="141"/>
      <c r="Z31" s="142"/>
      <c r="AA31" s="140"/>
      <c r="AB31" s="144"/>
      <c r="AC31" s="142"/>
      <c r="AD31" s="140"/>
      <c r="AE31" s="144"/>
      <c r="AF31" s="142"/>
      <c r="AG31" s="140"/>
      <c r="AH31" s="144"/>
      <c r="AI31" s="142"/>
      <c r="AJ31" s="140"/>
      <c r="AK31" s="144"/>
      <c r="AL31" s="142"/>
      <c r="AM31" s="140"/>
      <c r="AN31" s="144"/>
    </row>
    <row r="32" spans="1:41" s="194" customFormat="1" x14ac:dyDescent="0.3">
      <c r="A32" s="208"/>
      <c r="B32" s="286"/>
      <c r="C32" s="138"/>
      <c r="D32" s="204"/>
      <c r="E32" s="142"/>
      <c r="F32" s="140"/>
      <c r="G32" s="144"/>
      <c r="H32" s="142"/>
      <c r="I32" s="140"/>
      <c r="J32" s="141"/>
      <c r="K32" s="142"/>
      <c r="L32" s="140"/>
      <c r="M32" s="141"/>
      <c r="N32" s="142"/>
      <c r="O32" s="140"/>
      <c r="P32" s="141"/>
      <c r="Q32" s="142"/>
      <c r="R32" s="140"/>
      <c r="S32" s="141"/>
      <c r="T32" s="142"/>
      <c r="U32" s="140"/>
      <c r="V32" s="144"/>
      <c r="W32" s="142"/>
      <c r="X32" s="140"/>
      <c r="Y32" s="141"/>
      <c r="Z32" s="142"/>
      <c r="AA32" s="140"/>
      <c r="AB32" s="144"/>
      <c r="AC32" s="142"/>
      <c r="AD32" s="140"/>
      <c r="AE32" s="144"/>
      <c r="AF32" s="142"/>
      <c r="AG32" s="140"/>
      <c r="AH32" s="144"/>
      <c r="AI32" s="142"/>
      <c r="AJ32" s="140"/>
      <c r="AK32" s="144"/>
      <c r="AL32" s="142"/>
      <c r="AM32" s="140"/>
      <c r="AN32" s="144"/>
    </row>
    <row r="33" spans="1:40" s="194" customFormat="1" x14ac:dyDescent="0.3">
      <c r="A33" s="208"/>
      <c r="B33" s="285"/>
      <c r="C33" s="138"/>
      <c r="D33" s="204"/>
      <c r="E33" s="142"/>
      <c r="F33" s="140"/>
      <c r="G33" s="141"/>
      <c r="H33" s="142"/>
      <c r="I33" s="140"/>
      <c r="J33" s="141"/>
      <c r="K33" s="142"/>
      <c r="L33" s="140"/>
      <c r="M33" s="141"/>
      <c r="N33" s="142"/>
      <c r="O33" s="140"/>
      <c r="P33" s="141"/>
      <c r="Q33" s="142"/>
      <c r="R33" s="140"/>
      <c r="S33" s="141"/>
      <c r="T33" s="142"/>
      <c r="U33" s="140"/>
      <c r="V33" s="144"/>
      <c r="W33" s="142"/>
      <c r="X33" s="140"/>
      <c r="Y33" s="145"/>
      <c r="Z33" s="142"/>
      <c r="AA33" s="140"/>
      <c r="AB33" s="144"/>
      <c r="AC33" s="142"/>
      <c r="AD33" s="140"/>
      <c r="AE33" s="144"/>
      <c r="AF33" s="142"/>
      <c r="AG33" s="140"/>
      <c r="AH33" s="144"/>
      <c r="AI33" s="142"/>
      <c r="AJ33" s="140"/>
      <c r="AK33" s="144"/>
      <c r="AL33" s="142"/>
      <c r="AM33" s="140"/>
      <c r="AN33" s="144"/>
    </row>
    <row r="34" spans="1:40" s="194" customFormat="1" x14ac:dyDescent="0.3">
      <c r="A34" s="208"/>
      <c r="B34" s="286"/>
      <c r="C34" s="138"/>
      <c r="D34" s="204"/>
      <c r="E34" s="142"/>
      <c r="F34" s="140"/>
      <c r="G34" s="144"/>
      <c r="H34" s="200"/>
      <c r="I34" s="140"/>
      <c r="J34" s="141"/>
      <c r="K34" s="200"/>
      <c r="L34" s="140"/>
      <c r="M34" s="141"/>
      <c r="N34" s="200"/>
      <c r="O34" s="140"/>
      <c r="P34" s="141"/>
      <c r="Q34" s="142"/>
      <c r="R34" s="140"/>
      <c r="S34" s="141"/>
      <c r="T34" s="142"/>
      <c r="U34" s="140"/>
      <c r="V34" s="144"/>
      <c r="W34" s="142"/>
      <c r="X34" s="140"/>
      <c r="Y34" s="141"/>
      <c r="Z34" s="142"/>
      <c r="AA34" s="140"/>
      <c r="AB34" s="144"/>
      <c r="AC34" s="200"/>
      <c r="AD34" s="140"/>
      <c r="AE34" s="144"/>
      <c r="AF34" s="200"/>
      <c r="AG34" s="140"/>
      <c r="AH34" s="144"/>
      <c r="AI34" s="200"/>
      <c r="AJ34" s="140"/>
      <c r="AK34" s="144"/>
      <c r="AL34" s="200"/>
      <c r="AM34" s="140"/>
      <c r="AN34" s="144"/>
    </row>
    <row r="35" spans="1:40" s="194" customFormat="1" x14ac:dyDescent="0.3">
      <c r="A35" s="208"/>
      <c r="B35" s="285"/>
      <c r="C35" s="138"/>
      <c r="D35" s="204"/>
      <c r="E35" s="142"/>
      <c r="F35" s="140"/>
      <c r="G35" s="144"/>
      <c r="H35" s="200"/>
      <c r="I35" s="140"/>
      <c r="J35" s="144"/>
      <c r="K35" s="200"/>
      <c r="L35" s="140"/>
      <c r="M35" s="144"/>
      <c r="N35" s="200"/>
      <c r="O35" s="140"/>
      <c r="P35" s="144"/>
      <c r="Q35" s="142"/>
      <c r="R35" s="140"/>
      <c r="S35" s="144"/>
      <c r="T35" s="142"/>
      <c r="U35" s="140"/>
      <c r="V35" s="144"/>
      <c r="W35" s="142"/>
      <c r="X35" s="140"/>
      <c r="Y35" s="141"/>
      <c r="Z35" s="142"/>
      <c r="AA35" s="140"/>
      <c r="AB35" s="144"/>
      <c r="AC35" s="200"/>
      <c r="AD35" s="140"/>
      <c r="AE35" s="144"/>
      <c r="AF35" s="200"/>
      <c r="AG35" s="140"/>
      <c r="AH35" s="144"/>
      <c r="AI35" s="200"/>
      <c r="AJ35" s="140"/>
      <c r="AK35" s="144"/>
      <c r="AL35" s="200"/>
      <c r="AM35" s="140"/>
      <c r="AN35" s="144"/>
    </row>
    <row r="36" spans="1:40" s="194" customFormat="1" x14ac:dyDescent="0.3">
      <c r="A36" s="208"/>
      <c r="B36" s="286"/>
      <c r="C36" s="138"/>
      <c r="D36" s="204"/>
      <c r="E36" s="142"/>
      <c r="F36" s="140"/>
      <c r="G36" s="144"/>
      <c r="H36" s="200"/>
      <c r="I36" s="140"/>
      <c r="J36" s="144"/>
      <c r="K36" s="200"/>
      <c r="L36" s="140"/>
      <c r="M36" s="141"/>
      <c r="N36" s="200"/>
      <c r="O36" s="140"/>
      <c r="P36" s="141"/>
      <c r="Q36" s="142"/>
      <c r="R36" s="140"/>
      <c r="S36" s="144"/>
      <c r="T36" s="142"/>
      <c r="U36" s="140"/>
      <c r="V36" s="144"/>
      <c r="W36" s="142"/>
      <c r="X36" s="140"/>
      <c r="Y36" s="141"/>
      <c r="Z36" s="142"/>
      <c r="AA36" s="140"/>
      <c r="AB36" s="144"/>
      <c r="AC36" s="200"/>
      <c r="AD36" s="140"/>
      <c r="AE36" s="144"/>
      <c r="AF36" s="200"/>
      <c r="AG36" s="140"/>
      <c r="AH36" s="144"/>
      <c r="AI36" s="200"/>
      <c r="AJ36" s="140"/>
      <c r="AK36" s="144"/>
      <c r="AL36" s="200"/>
      <c r="AM36" s="140"/>
      <c r="AN36" s="144"/>
    </row>
    <row r="37" spans="1:40" s="194" customFormat="1" ht="25.5" customHeight="1" thickBot="1" x14ac:dyDescent="0.35">
      <c r="A37" s="208"/>
      <c r="B37" s="291"/>
      <c r="C37" s="147"/>
      <c r="D37" s="205"/>
      <c r="E37" s="149"/>
      <c r="F37" s="150"/>
      <c r="G37" s="151"/>
      <c r="H37" s="201"/>
      <c r="I37" s="150"/>
      <c r="J37" s="152"/>
      <c r="K37" s="201"/>
      <c r="L37" s="150"/>
      <c r="M37" s="152"/>
      <c r="N37" s="201"/>
      <c r="O37" s="150"/>
      <c r="P37" s="152"/>
      <c r="Q37" s="149"/>
      <c r="R37" s="150"/>
      <c r="S37" s="151"/>
      <c r="T37" s="149"/>
      <c r="U37" s="150"/>
      <c r="V37" s="152"/>
      <c r="W37" s="149"/>
      <c r="X37" s="150"/>
      <c r="Y37" s="152"/>
      <c r="Z37" s="149"/>
      <c r="AA37" s="150"/>
      <c r="AB37" s="151"/>
      <c r="AC37" s="201"/>
      <c r="AD37" s="150"/>
      <c r="AE37" s="151"/>
      <c r="AF37" s="201"/>
      <c r="AG37" s="150"/>
      <c r="AH37" s="151"/>
      <c r="AI37" s="201"/>
      <c r="AJ37" s="150"/>
      <c r="AK37" s="151"/>
      <c r="AL37" s="201"/>
      <c r="AM37" s="150"/>
      <c r="AN37" s="151"/>
    </row>
  </sheetData>
  <mergeCells count="23">
    <mergeCell ref="I14:K14"/>
    <mergeCell ref="F1:Q1"/>
    <mergeCell ref="F2:Q2"/>
    <mergeCell ref="F3:Q3"/>
    <mergeCell ref="S1:U1"/>
    <mergeCell ref="S2:U2"/>
    <mergeCell ref="S3:U3"/>
    <mergeCell ref="F4:Q4"/>
    <mergeCell ref="S4:U4"/>
    <mergeCell ref="S5:U5"/>
    <mergeCell ref="B19:AN19"/>
    <mergeCell ref="Z20:AB20"/>
    <mergeCell ref="AC20:AE20"/>
    <mergeCell ref="AF20:AH20"/>
    <mergeCell ref="AI20:AK20"/>
    <mergeCell ref="AL20:AN20"/>
    <mergeCell ref="T20:V20"/>
    <mergeCell ref="W20:Y20"/>
    <mergeCell ref="E20:G20"/>
    <mergeCell ref="H20:J20"/>
    <mergeCell ref="K20:M20"/>
    <mergeCell ref="N20:P20"/>
    <mergeCell ref="Q20:S20"/>
  </mergeCells>
  <conditionalFormatting sqref="E22:AN37">
    <cfRule type="notContainsBlanks" dxfId="34" priority="6">
      <formula>LEN(TRIM(E22))&gt;0</formula>
    </cfRule>
  </conditionalFormatting>
  <conditionalFormatting sqref="F9:T14">
    <cfRule type="notContainsBlanks" dxfId="33" priority="5">
      <formula>LEN(TRIM(F9))&gt;0</formula>
    </cfRule>
  </conditionalFormatting>
  <conditionalFormatting sqref="R8:T8">
    <cfRule type="notContainsBlanks" dxfId="32" priority="1">
      <formula>LEN(TRIM(R8))&gt;0</formula>
    </cfRule>
  </conditionalFormatting>
  <pageMargins left="0.7" right="0.7" top="0.75" bottom="0.75" header="0.3" footer="0.3"/>
  <pageSetup scale="97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8"/>
  <sheetViews>
    <sheetView topLeftCell="C1" zoomScale="96" zoomScaleNormal="96" workbookViewId="0">
      <pane xSplit="2" ySplit="4" topLeftCell="S14" activePane="bottomRight" state="frozen"/>
      <selection activeCell="C1" sqref="C1"/>
      <selection pane="topRight" activeCell="E1" sqref="E1"/>
      <selection pane="bottomLeft" activeCell="C5" sqref="C5"/>
      <selection pane="bottomRight" activeCell="S31" sqref="S31"/>
    </sheetView>
  </sheetViews>
  <sheetFormatPr baseColWidth="10" defaultRowHeight="13.8" x14ac:dyDescent="0.3"/>
  <cols>
    <col min="1" max="1" width="13.109375" style="173" bestFit="1" customWidth="1"/>
    <col min="2" max="2" width="9.21875" style="173" bestFit="1" customWidth="1"/>
    <col min="3" max="3" width="16.77734375" style="173" bestFit="1" customWidth="1"/>
    <col min="4" max="4" width="31.109375" style="173" customWidth="1"/>
    <col min="5" max="5" width="29.109375" style="532" customWidth="1"/>
    <col min="6" max="6" width="19.21875" style="173" customWidth="1"/>
    <col min="7" max="7" width="20.5546875" style="173" customWidth="1"/>
    <col min="8" max="8" width="13.88671875" style="173" customWidth="1"/>
    <col min="9" max="9" width="17" style="173" customWidth="1"/>
    <col min="10" max="10" width="12.77734375" style="173" customWidth="1"/>
    <col min="11" max="11" width="20.5546875" style="173" customWidth="1"/>
    <col min="12" max="12" width="16.44140625" style="173" customWidth="1"/>
    <col min="13" max="13" width="19.44140625" style="173" customWidth="1"/>
    <col min="14" max="14" width="12.21875" style="173" customWidth="1"/>
    <col min="15" max="15" width="12.88671875" style="173" customWidth="1"/>
    <col min="16" max="16" width="12.77734375" style="173" customWidth="1"/>
    <col min="17" max="17" width="12.21875" style="173" customWidth="1"/>
    <col min="18" max="18" width="16.77734375" style="173" customWidth="1"/>
    <col min="19" max="19" width="12.77734375" style="173" customWidth="1"/>
    <col min="20" max="20" width="16" style="173" bestFit="1" customWidth="1"/>
    <col min="21" max="21" width="17.77734375" style="173" bestFit="1" customWidth="1"/>
    <col min="22" max="22" width="17.21875" style="173" bestFit="1" customWidth="1"/>
    <col min="23" max="23" width="16" style="173" bestFit="1" customWidth="1"/>
    <col min="24" max="24" width="16.6640625" style="173" bestFit="1" customWidth="1"/>
    <col min="25" max="25" width="12.44140625" style="173" bestFit="1" customWidth="1"/>
    <col min="26" max="26" width="16" style="173" bestFit="1" customWidth="1"/>
    <col min="27" max="27" width="16.6640625" style="173" bestFit="1" customWidth="1"/>
    <col min="28" max="28" width="18.21875" style="173" bestFit="1" customWidth="1"/>
    <col min="29" max="29" width="16" style="173" bestFit="1" customWidth="1"/>
    <col min="30" max="30" width="16.6640625" style="173" bestFit="1" customWidth="1"/>
    <col min="31" max="31" width="14.109375" style="173" bestFit="1" customWidth="1"/>
    <col min="32" max="32" width="16" style="173" bestFit="1" customWidth="1"/>
    <col min="33" max="33" width="16.6640625" style="173" bestFit="1" customWidth="1"/>
    <col min="34" max="34" width="14.109375" style="173" bestFit="1" customWidth="1"/>
    <col min="35" max="35" width="12.77734375" style="173" customWidth="1"/>
    <col min="36" max="36" width="16.21875" style="173" customWidth="1"/>
    <col min="37" max="37" width="12.5546875" style="173" customWidth="1"/>
    <col min="38" max="38" width="13.33203125" style="173" customWidth="1"/>
    <col min="39" max="39" width="13.88671875" style="173" bestFit="1" customWidth="1"/>
    <col min="40" max="40" width="13.6640625" style="173" bestFit="1" customWidth="1"/>
    <col min="41" max="41" width="12.33203125" style="173" customWidth="1"/>
    <col min="42" max="16384" width="11.5546875" style="173"/>
  </cols>
  <sheetData>
    <row r="1" spans="1:25" ht="14.4" thickBot="1" x14ac:dyDescent="0.35">
      <c r="E1" s="524"/>
      <c r="F1" s="1370" t="s">
        <v>0</v>
      </c>
      <c r="G1" s="1370"/>
      <c r="H1" s="1370"/>
      <c r="I1" s="1370"/>
      <c r="J1" s="1370"/>
      <c r="K1" s="1370"/>
      <c r="L1" s="1370"/>
      <c r="M1" s="1370"/>
      <c r="N1" s="1370"/>
      <c r="O1" s="1370"/>
      <c r="P1" s="1370"/>
      <c r="Q1" s="1370"/>
      <c r="R1" s="525"/>
      <c r="S1" s="1364" t="s">
        <v>1</v>
      </c>
      <c r="T1" s="1364"/>
      <c r="U1" s="1365"/>
    </row>
    <row r="2" spans="1:25" ht="14.4" thickBot="1" x14ac:dyDescent="0.35">
      <c r="E2" s="527"/>
      <c r="F2" s="1371" t="s">
        <v>2</v>
      </c>
      <c r="G2" s="1371"/>
      <c r="H2" s="1371"/>
      <c r="I2" s="1371"/>
      <c r="J2" s="1371"/>
      <c r="K2" s="1371"/>
      <c r="L2" s="1371"/>
      <c r="M2" s="1371"/>
      <c r="N2" s="1371"/>
      <c r="O2" s="1371"/>
      <c r="P2" s="1371"/>
      <c r="Q2" s="1371"/>
      <c r="R2" s="528"/>
      <c r="S2" s="1364" t="s">
        <v>3</v>
      </c>
      <c r="T2" s="1364"/>
      <c r="U2" s="1365"/>
    </row>
    <row r="3" spans="1:25" ht="14.4" thickBot="1" x14ac:dyDescent="0.35">
      <c r="E3" s="3"/>
      <c r="F3" s="1363" t="s">
        <v>4</v>
      </c>
      <c r="G3" s="1363"/>
      <c r="H3" s="1363"/>
      <c r="I3" s="1363"/>
      <c r="J3" s="1363"/>
      <c r="K3" s="1363"/>
      <c r="L3" s="1363"/>
      <c r="M3" s="1363"/>
      <c r="N3" s="1363"/>
      <c r="O3" s="1363"/>
      <c r="P3" s="1363"/>
      <c r="Q3" s="1363"/>
      <c r="R3" s="529"/>
      <c r="S3" s="1372" t="s">
        <v>5</v>
      </c>
      <c r="T3" s="1372"/>
      <c r="U3" s="1373"/>
    </row>
    <row r="4" spans="1:25" ht="14.4" thickBot="1" x14ac:dyDescent="0.35">
      <c r="C4" s="530"/>
      <c r="D4" s="531" t="s">
        <v>6</v>
      </c>
      <c r="F4" s="1363" t="s">
        <v>39</v>
      </c>
      <c r="G4" s="1363"/>
      <c r="H4" s="1363"/>
      <c r="I4" s="1363"/>
      <c r="J4" s="1363"/>
      <c r="K4" s="1363"/>
      <c r="L4" s="1363"/>
      <c r="M4" s="1363"/>
      <c r="N4" s="1363"/>
      <c r="O4" s="1363"/>
      <c r="P4" s="1363"/>
      <c r="Q4" s="1363"/>
      <c r="R4" s="533"/>
      <c r="S4" s="1364" t="s">
        <v>7</v>
      </c>
      <c r="T4" s="1364"/>
      <c r="U4" s="1365"/>
    </row>
    <row r="6" spans="1:25" ht="14.4" thickBot="1" x14ac:dyDescent="0.35"/>
    <row r="7" spans="1:25" ht="14.4" thickBot="1" x14ac:dyDescent="0.35">
      <c r="B7" s="534" t="s">
        <v>9</v>
      </c>
      <c r="C7" s="535" t="s">
        <v>10</v>
      </c>
      <c r="D7" s="536" t="s">
        <v>11</v>
      </c>
      <c r="E7" s="537" t="s">
        <v>12</v>
      </c>
      <c r="F7" s="538" t="s">
        <v>13</v>
      </c>
      <c r="G7" s="538" t="s">
        <v>14</v>
      </c>
      <c r="H7" s="539" t="s">
        <v>15</v>
      </c>
      <c r="I7" s="540" t="s">
        <v>16</v>
      </c>
      <c r="J7" s="541" t="s">
        <v>15</v>
      </c>
      <c r="K7" s="542" t="s">
        <v>14</v>
      </c>
      <c r="L7" s="543" t="s">
        <v>17</v>
      </c>
      <c r="M7" s="544" t="s">
        <v>15</v>
      </c>
      <c r="N7" s="545" t="s">
        <v>14</v>
      </c>
      <c r="O7" s="546" t="s">
        <v>18</v>
      </c>
      <c r="P7" s="547" t="s">
        <v>15</v>
      </c>
      <c r="Q7" s="548" t="s">
        <v>14</v>
      </c>
      <c r="R7" s="549" t="s">
        <v>19</v>
      </c>
      <c r="S7" s="550" t="s">
        <v>15</v>
      </c>
      <c r="T7" s="551" t="s">
        <v>14</v>
      </c>
      <c r="U7" s="552" t="s">
        <v>20</v>
      </c>
      <c r="V7" s="553" t="s">
        <v>21</v>
      </c>
      <c r="W7" s="554" t="s">
        <v>22</v>
      </c>
      <c r="X7" s="554" t="s">
        <v>38</v>
      </c>
      <c r="Y7" s="173" t="s">
        <v>23</v>
      </c>
    </row>
    <row r="8" spans="1:25" x14ac:dyDescent="0.3">
      <c r="A8" s="555" t="s">
        <v>137</v>
      </c>
      <c r="B8" s="556"/>
      <c r="C8" s="557" t="s">
        <v>125</v>
      </c>
      <c r="D8" s="558" t="s">
        <v>82</v>
      </c>
      <c r="E8" s="559" t="s">
        <v>54</v>
      </c>
      <c r="F8" s="560">
        <v>1450</v>
      </c>
      <c r="G8" s="561" t="s">
        <v>83</v>
      </c>
      <c r="H8" s="562">
        <v>45677</v>
      </c>
      <c r="I8" s="560"/>
      <c r="J8" s="562"/>
      <c r="K8" s="563"/>
      <c r="L8" s="560"/>
      <c r="M8" s="562"/>
      <c r="N8" s="561"/>
      <c r="O8" s="560"/>
      <c r="P8" s="562"/>
      <c r="Q8" s="564"/>
      <c r="R8" s="560"/>
      <c r="S8" s="562"/>
      <c r="T8" s="564"/>
      <c r="U8" s="565"/>
      <c r="V8" s="566"/>
      <c r="W8" s="567"/>
      <c r="X8" s="567"/>
      <c r="Y8" s="173">
        <f>+X8/12</f>
        <v>0</v>
      </c>
    </row>
    <row r="9" spans="1:25" ht="25.2" x14ac:dyDescent="0.3">
      <c r="A9" s="555" t="s">
        <v>138</v>
      </c>
      <c r="B9" s="568"/>
      <c r="C9" s="569" t="s">
        <v>114</v>
      </c>
      <c r="D9" s="570" t="s">
        <v>94</v>
      </c>
      <c r="E9" s="559" t="s">
        <v>95</v>
      </c>
      <c r="F9" s="571">
        <v>1450</v>
      </c>
      <c r="G9" s="572" t="s">
        <v>96</v>
      </c>
      <c r="H9" s="384">
        <v>45701</v>
      </c>
      <c r="I9" s="571">
        <v>2990</v>
      </c>
      <c r="J9" s="384">
        <v>45701</v>
      </c>
      <c r="K9" s="573" t="s">
        <v>96</v>
      </c>
      <c r="L9" s="571">
        <v>2390</v>
      </c>
      <c r="M9" s="384">
        <v>45701</v>
      </c>
      <c r="N9" s="574" t="s">
        <v>96</v>
      </c>
      <c r="O9" s="571">
        <v>3900</v>
      </c>
      <c r="P9" s="140">
        <v>45797</v>
      </c>
      <c r="Q9" s="575">
        <v>7218123</v>
      </c>
      <c r="R9" s="571">
        <v>3085</v>
      </c>
      <c r="S9" s="384">
        <v>45894</v>
      </c>
      <c r="T9" s="576" t="s">
        <v>384</v>
      </c>
      <c r="U9" s="577" t="s">
        <v>258</v>
      </c>
      <c r="V9" s="578">
        <v>0.3</v>
      </c>
      <c r="W9" s="579">
        <v>2990</v>
      </c>
      <c r="X9" s="579">
        <v>2394</v>
      </c>
    </row>
    <row r="10" spans="1:25" ht="28.05" customHeight="1" x14ac:dyDescent="0.3">
      <c r="A10" s="555" t="s">
        <v>313</v>
      </c>
      <c r="B10" s="580"/>
      <c r="C10" s="581" t="s">
        <v>125</v>
      </c>
      <c r="D10" s="582" t="s">
        <v>124</v>
      </c>
      <c r="E10" s="559" t="s">
        <v>95</v>
      </c>
      <c r="F10" s="583">
        <v>1450</v>
      </c>
      <c r="G10" s="584" t="s">
        <v>131</v>
      </c>
      <c r="H10" s="140">
        <v>45723</v>
      </c>
      <c r="I10" s="583">
        <v>2990</v>
      </c>
      <c r="J10" s="140">
        <v>45723</v>
      </c>
      <c r="K10" s="585" t="s">
        <v>131</v>
      </c>
      <c r="L10" s="583">
        <v>2390</v>
      </c>
      <c r="M10" s="140">
        <v>45723</v>
      </c>
      <c r="N10" s="585" t="s">
        <v>131</v>
      </c>
      <c r="O10" s="583">
        <v>3900</v>
      </c>
      <c r="P10" s="140">
        <v>45796</v>
      </c>
      <c r="Q10" s="575">
        <v>4076892</v>
      </c>
      <c r="R10" s="583"/>
      <c r="S10" s="140"/>
      <c r="T10" s="585"/>
      <c r="U10" s="586" t="s">
        <v>258</v>
      </c>
      <c r="V10" s="587">
        <v>0.25</v>
      </c>
      <c r="W10" s="579">
        <v>3420</v>
      </c>
      <c r="X10" s="579">
        <v>2565</v>
      </c>
    </row>
    <row r="11" spans="1:25" ht="41.25" customHeight="1" x14ac:dyDescent="0.3">
      <c r="A11" s="555" t="s">
        <v>333</v>
      </c>
      <c r="B11" s="568"/>
      <c r="C11" s="569" t="s">
        <v>125</v>
      </c>
      <c r="D11" s="588" t="s">
        <v>332</v>
      </c>
      <c r="E11" s="559" t="s">
        <v>95</v>
      </c>
      <c r="F11" s="571">
        <v>1450</v>
      </c>
      <c r="G11" s="574" t="s">
        <v>339</v>
      </c>
      <c r="H11" s="384">
        <v>45877</v>
      </c>
      <c r="I11" s="571">
        <v>1212</v>
      </c>
      <c r="J11" s="384">
        <v>45964</v>
      </c>
      <c r="K11" s="576" t="s">
        <v>460</v>
      </c>
      <c r="L11" s="571"/>
      <c r="M11" s="384"/>
      <c r="N11" s="576"/>
      <c r="O11" s="571"/>
      <c r="P11" s="384"/>
      <c r="Q11" s="589"/>
      <c r="R11" s="571"/>
      <c r="S11" s="384"/>
      <c r="T11" s="576"/>
      <c r="U11" s="577" t="s">
        <v>258</v>
      </c>
      <c r="V11" s="578">
        <v>0.3</v>
      </c>
      <c r="W11" s="579">
        <v>2990</v>
      </c>
      <c r="X11" s="579">
        <v>2394</v>
      </c>
    </row>
    <row r="12" spans="1:25" x14ac:dyDescent="0.3">
      <c r="A12" s="555"/>
      <c r="B12" s="580"/>
      <c r="C12" s="581"/>
      <c r="D12" s="590"/>
      <c r="E12" s="559"/>
      <c r="F12" s="583"/>
      <c r="G12" s="584"/>
      <c r="H12" s="140"/>
      <c r="I12" s="583"/>
      <c r="J12" s="140"/>
      <c r="K12" s="584" t="s">
        <v>461</v>
      </c>
      <c r="L12" s="583"/>
      <c r="M12" s="140"/>
      <c r="N12" s="584"/>
      <c r="O12" s="583"/>
      <c r="P12" s="140"/>
      <c r="Q12" s="591"/>
      <c r="R12" s="583"/>
      <c r="S12" s="140"/>
      <c r="T12" s="585"/>
      <c r="U12" s="586"/>
      <c r="V12" s="587"/>
      <c r="W12" s="579"/>
      <c r="X12" s="579"/>
    </row>
    <row r="13" spans="1:25" x14ac:dyDescent="0.3">
      <c r="A13" s="555"/>
      <c r="B13" s="580"/>
      <c r="C13" s="581"/>
      <c r="D13" s="590"/>
      <c r="E13" s="559"/>
      <c r="F13" s="583"/>
      <c r="G13" s="584"/>
      <c r="H13" s="140"/>
      <c r="I13" s="583"/>
      <c r="J13" s="140"/>
      <c r="K13" s="592"/>
      <c r="L13" s="583"/>
      <c r="M13" s="140"/>
      <c r="N13" s="593"/>
      <c r="O13" s="583"/>
      <c r="P13" s="140"/>
      <c r="Q13" s="575"/>
      <c r="R13" s="583"/>
      <c r="S13" s="140"/>
      <c r="T13" s="585"/>
      <c r="U13" s="586"/>
      <c r="V13" s="587"/>
      <c r="W13" s="579"/>
      <c r="X13" s="579"/>
    </row>
    <row r="14" spans="1:25" ht="14.4" thickBot="1" x14ac:dyDescent="0.35">
      <c r="A14" s="555"/>
      <c r="B14" s="594"/>
      <c r="C14" s="595"/>
      <c r="D14" s="590"/>
      <c r="E14" s="596"/>
      <c r="F14" s="597"/>
      <c r="G14" s="598"/>
      <c r="H14" s="150"/>
      <c r="I14" s="597"/>
      <c r="J14" s="150"/>
      <c r="K14" s="599"/>
      <c r="L14" s="597"/>
      <c r="M14" s="150"/>
      <c r="N14" s="599"/>
      <c r="O14" s="597"/>
      <c r="P14" s="150"/>
      <c r="Q14" s="600"/>
      <c r="R14" s="597"/>
      <c r="S14" s="150"/>
      <c r="T14" s="601"/>
      <c r="U14" s="598"/>
      <c r="V14" s="602"/>
      <c r="W14" s="603"/>
      <c r="X14" s="603"/>
    </row>
    <row r="18" spans="1:41" ht="14.4" thickBot="1" x14ac:dyDescent="0.35"/>
    <row r="19" spans="1:41" ht="14.4" thickBot="1" x14ac:dyDescent="0.35">
      <c r="B19" s="1366" t="s">
        <v>24</v>
      </c>
      <c r="C19" s="1367"/>
      <c r="D19" s="1367"/>
      <c r="E19" s="1367"/>
      <c r="F19" s="1367"/>
      <c r="G19" s="1367"/>
      <c r="H19" s="1367"/>
      <c r="I19" s="1367"/>
      <c r="J19" s="1367"/>
      <c r="K19" s="1367"/>
      <c r="L19" s="1367"/>
      <c r="M19" s="1367"/>
      <c r="N19" s="1367"/>
      <c r="O19" s="1367"/>
      <c r="P19" s="1367"/>
      <c r="Q19" s="1367"/>
      <c r="R19" s="1367"/>
      <c r="S19" s="1367"/>
      <c r="T19" s="1367"/>
      <c r="U19" s="1367"/>
      <c r="V19" s="1367"/>
      <c r="W19" s="1367"/>
      <c r="X19" s="1367"/>
      <c r="Y19" s="1367"/>
      <c r="Z19" s="1367"/>
      <c r="AA19" s="1367"/>
      <c r="AB19" s="1367"/>
      <c r="AC19" s="1367"/>
      <c r="AD19" s="1367"/>
      <c r="AE19" s="1367"/>
      <c r="AF19" s="1367"/>
      <c r="AG19" s="1367"/>
      <c r="AH19" s="1367"/>
      <c r="AI19" s="1367"/>
      <c r="AJ19" s="1367"/>
      <c r="AK19" s="1367"/>
      <c r="AL19" s="1367"/>
      <c r="AM19" s="1367"/>
      <c r="AN19" s="1368"/>
    </row>
    <row r="20" spans="1:41" ht="14.4" thickBot="1" x14ac:dyDescent="0.35">
      <c r="B20" s="171" t="s">
        <v>9</v>
      </c>
      <c r="C20" s="172" t="s">
        <v>10</v>
      </c>
      <c r="D20" s="171" t="s">
        <v>11</v>
      </c>
      <c r="E20" s="1359" t="s">
        <v>25</v>
      </c>
      <c r="F20" s="1360"/>
      <c r="G20" s="1361"/>
      <c r="H20" s="1362" t="s">
        <v>26</v>
      </c>
      <c r="I20" s="1362"/>
      <c r="J20" s="1362"/>
      <c r="K20" s="1359" t="s">
        <v>27</v>
      </c>
      <c r="L20" s="1360"/>
      <c r="M20" s="1361"/>
      <c r="N20" s="1362" t="s">
        <v>28</v>
      </c>
      <c r="O20" s="1362"/>
      <c r="P20" s="1362"/>
      <c r="Q20" s="1359" t="s">
        <v>29</v>
      </c>
      <c r="R20" s="1360"/>
      <c r="S20" s="1361"/>
      <c r="T20" s="1362" t="s">
        <v>30</v>
      </c>
      <c r="U20" s="1362"/>
      <c r="V20" s="1362"/>
      <c r="W20" s="1359" t="s">
        <v>36</v>
      </c>
      <c r="X20" s="1360"/>
      <c r="Y20" s="1361"/>
      <c r="Z20" s="1362" t="s">
        <v>31</v>
      </c>
      <c r="AA20" s="1362"/>
      <c r="AB20" s="1362"/>
      <c r="AC20" s="1359" t="s">
        <v>32</v>
      </c>
      <c r="AD20" s="1360"/>
      <c r="AE20" s="1361"/>
      <c r="AF20" s="1362" t="s">
        <v>33</v>
      </c>
      <c r="AG20" s="1362"/>
      <c r="AH20" s="1362"/>
      <c r="AI20" s="1359" t="s">
        <v>34</v>
      </c>
      <c r="AJ20" s="1360"/>
      <c r="AK20" s="1361"/>
      <c r="AL20" s="1362" t="s">
        <v>35</v>
      </c>
      <c r="AM20" s="1362"/>
      <c r="AN20" s="1369"/>
    </row>
    <row r="21" spans="1:41" ht="14.4" thickBot="1" x14ac:dyDescent="0.35">
      <c r="B21" s="604"/>
      <c r="C21" s="605"/>
      <c r="D21" s="605"/>
      <c r="E21" s="606" t="s">
        <v>37</v>
      </c>
      <c r="F21" s="607" t="s">
        <v>15</v>
      </c>
      <c r="G21" s="608" t="s">
        <v>14</v>
      </c>
      <c r="H21" s="607" t="s">
        <v>37</v>
      </c>
      <c r="I21" s="607" t="s">
        <v>15</v>
      </c>
      <c r="J21" s="607" t="s">
        <v>14</v>
      </c>
      <c r="K21" s="606" t="s">
        <v>37</v>
      </c>
      <c r="L21" s="607" t="s">
        <v>15</v>
      </c>
      <c r="M21" s="608" t="s">
        <v>14</v>
      </c>
      <c r="N21" s="607" t="s">
        <v>37</v>
      </c>
      <c r="O21" s="607" t="s">
        <v>15</v>
      </c>
      <c r="P21" s="607" t="s">
        <v>14</v>
      </c>
      <c r="Q21" s="606" t="s">
        <v>37</v>
      </c>
      <c r="R21" s="607" t="s">
        <v>15</v>
      </c>
      <c r="S21" s="608" t="s">
        <v>14</v>
      </c>
      <c r="T21" s="607" t="s">
        <v>37</v>
      </c>
      <c r="U21" s="607" t="s">
        <v>15</v>
      </c>
      <c r="V21" s="607" t="s">
        <v>14</v>
      </c>
      <c r="W21" s="606" t="s">
        <v>37</v>
      </c>
      <c r="X21" s="607" t="s">
        <v>15</v>
      </c>
      <c r="Y21" s="608" t="s">
        <v>14</v>
      </c>
      <c r="Z21" s="607" t="s">
        <v>37</v>
      </c>
      <c r="AA21" s="607" t="s">
        <v>15</v>
      </c>
      <c r="AB21" s="607" t="s">
        <v>14</v>
      </c>
      <c r="AC21" s="606" t="s">
        <v>37</v>
      </c>
      <c r="AD21" s="607" t="s">
        <v>15</v>
      </c>
      <c r="AE21" s="608" t="s">
        <v>14</v>
      </c>
      <c r="AF21" s="607" t="s">
        <v>37</v>
      </c>
      <c r="AG21" s="607" t="s">
        <v>15</v>
      </c>
      <c r="AH21" s="607" t="s">
        <v>14</v>
      </c>
      <c r="AI21" s="606" t="s">
        <v>37</v>
      </c>
      <c r="AJ21" s="607" t="s">
        <v>15</v>
      </c>
      <c r="AK21" s="608" t="s">
        <v>14</v>
      </c>
      <c r="AL21" s="607" t="s">
        <v>37</v>
      </c>
      <c r="AM21" s="607" t="s">
        <v>15</v>
      </c>
      <c r="AN21" s="608" t="s">
        <v>14</v>
      </c>
    </row>
    <row r="22" spans="1:41" ht="13.2" customHeight="1" x14ac:dyDescent="0.3">
      <c r="A22" s="555"/>
      <c r="B22" s="609"/>
      <c r="C22" s="610" t="s">
        <v>639</v>
      </c>
      <c r="D22" s="611" t="str">
        <f>D8</f>
        <v>CARLA SOFÍA JIMÉNEZ CRUZ</v>
      </c>
      <c r="E22" s="350"/>
      <c r="F22" s="351"/>
      <c r="G22" s="352"/>
      <c r="H22" s="258">
        <v>2052</v>
      </c>
      <c r="I22" s="133">
        <v>45936</v>
      </c>
      <c r="J22" s="134">
        <v>1768637</v>
      </c>
      <c r="K22" s="258">
        <v>2052</v>
      </c>
      <c r="L22" s="133">
        <v>45936</v>
      </c>
      <c r="M22" s="134">
        <v>89705632</v>
      </c>
      <c r="N22" s="258">
        <v>2052</v>
      </c>
      <c r="O22" s="133">
        <v>46067</v>
      </c>
      <c r="P22" s="134">
        <v>5478962135</v>
      </c>
      <c r="Q22" s="258">
        <v>2052</v>
      </c>
      <c r="R22" s="133">
        <v>46067</v>
      </c>
      <c r="S22" s="134">
        <v>5478962135</v>
      </c>
      <c r="T22" s="258">
        <v>2052</v>
      </c>
      <c r="U22" s="133">
        <v>46067</v>
      </c>
      <c r="V22" s="134">
        <v>5478962135</v>
      </c>
      <c r="W22" s="350"/>
      <c r="X22" s="351"/>
      <c r="Y22" s="352"/>
      <c r="Z22" s="258">
        <v>2052</v>
      </c>
      <c r="AA22" s="136">
        <v>46067</v>
      </c>
      <c r="AB22" s="134">
        <v>5478962135</v>
      </c>
      <c r="AC22" s="612">
        <v>2052</v>
      </c>
      <c r="AD22" s="613">
        <v>46149</v>
      </c>
      <c r="AE22" s="614" t="s">
        <v>719</v>
      </c>
      <c r="AF22" s="612"/>
      <c r="AG22" s="613"/>
      <c r="AH22" s="614"/>
      <c r="AI22" s="258">
        <v>2452</v>
      </c>
      <c r="AJ22" s="136">
        <v>46155</v>
      </c>
      <c r="AK22" s="134">
        <v>7098753</v>
      </c>
      <c r="AL22" s="258"/>
      <c r="AM22" s="136"/>
      <c r="AN22" s="134"/>
    </row>
    <row r="23" spans="1:41" ht="13.2" customHeight="1" x14ac:dyDescent="0.3">
      <c r="A23" s="555"/>
      <c r="B23" s="580"/>
      <c r="C23" s="581"/>
      <c r="D23" s="615" t="str">
        <f t="shared" ref="D23:D24" si="0">D9</f>
        <v>ELISA ABIGAIL ALONSO ZAMORA</v>
      </c>
      <c r="E23" s="301"/>
      <c r="F23" s="302"/>
      <c r="G23" s="303"/>
      <c r="H23" s="139">
        <v>2394</v>
      </c>
      <c r="I23" s="140">
        <v>45904</v>
      </c>
      <c r="J23" s="141">
        <v>92025</v>
      </c>
      <c r="K23" s="142">
        <v>2394</v>
      </c>
      <c r="L23" s="140">
        <v>45932</v>
      </c>
      <c r="M23" s="141">
        <v>370251314</v>
      </c>
      <c r="N23" s="142">
        <v>2394</v>
      </c>
      <c r="O23" s="140">
        <v>45966</v>
      </c>
      <c r="P23" s="141">
        <v>1097424</v>
      </c>
      <c r="Q23" s="142">
        <v>2394</v>
      </c>
      <c r="R23" s="140">
        <v>45994</v>
      </c>
      <c r="S23" s="141">
        <v>8847032</v>
      </c>
      <c r="T23" s="142">
        <v>2394</v>
      </c>
      <c r="U23" s="140">
        <v>46034</v>
      </c>
      <c r="V23" s="141">
        <v>2989580</v>
      </c>
      <c r="W23" s="142">
        <v>2394</v>
      </c>
      <c r="X23" s="140">
        <v>46000</v>
      </c>
      <c r="Y23" s="141">
        <v>5611616</v>
      </c>
      <c r="Z23" s="142">
        <v>2394</v>
      </c>
      <c r="AA23" s="140">
        <v>46057</v>
      </c>
      <c r="AB23" s="144">
        <v>6014650</v>
      </c>
      <c r="AC23" s="142">
        <v>2394</v>
      </c>
      <c r="AD23" s="140">
        <v>46083</v>
      </c>
      <c r="AE23" s="141">
        <v>7016241</v>
      </c>
      <c r="AF23" s="142">
        <v>2394</v>
      </c>
      <c r="AG23" s="140">
        <v>46113</v>
      </c>
      <c r="AH23" s="141">
        <v>48302093</v>
      </c>
      <c r="AI23" s="142">
        <v>2394</v>
      </c>
      <c r="AJ23" s="140">
        <v>46148</v>
      </c>
      <c r="AK23" s="141">
        <v>6567541</v>
      </c>
      <c r="AL23" s="142">
        <v>2394</v>
      </c>
      <c r="AM23" s="140">
        <v>46175</v>
      </c>
      <c r="AN23" s="141">
        <v>99599832</v>
      </c>
      <c r="AO23" s="173" t="s">
        <v>816</v>
      </c>
    </row>
    <row r="24" spans="1:41" ht="13.2" customHeight="1" x14ac:dyDescent="0.3">
      <c r="A24" s="555"/>
      <c r="B24" s="580"/>
      <c r="C24" s="581"/>
      <c r="D24" s="615" t="str">
        <f t="shared" si="0"/>
        <v xml:space="preserve">NAYAN MARIN MARTINEZ </v>
      </c>
      <c r="E24" s="301"/>
      <c r="F24" s="302"/>
      <c r="G24" s="303"/>
      <c r="H24" s="142">
        <v>2565</v>
      </c>
      <c r="I24" s="140">
        <v>45866</v>
      </c>
      <c r="J24" s="141">
        <v>9359986</v>
      </c>
      <c r="K24" s="142">
        <v>2565</v>
      </c>
      <c r="L24" s="140">
        <v>45866</v>
      </c>
      <c r="M24" s="141">
        <v>9359986</v>
      </c>
      <c r="N24" s="142">
        <v>2565</v>
      </c>
      <c r="O24" s="140">
        <v>45949</v>
      </c>
      <c r="P24" s="141">
        <v>5345598</v>
      </c>
      <c r="Q24" s="142">
        <v>2565</v>
      </c>
      <c r="R24" s="140">
        <v>45996</v>
      </c>
      <c r="S24" s="141">
        <v>4301107</v>
      </c>
      <c r="T24" s="142">
        <v>2565</v>
      </c>
      <c r="U24" s="140">
        <v>46028</v>
      </c>
      <c r="V24" s="141">
        <v>590013</v>
      </c>
      <c r="W24" s="333"/>
      <c r="X24" s="302"/>
      <c r="Y24" s="303"/>
      <c r="Z24" s="142">
        <v>2565</v>
      </c>
      <c r="AA24" s="140">
        <v>46081</v>
      </c>
      <c r="AB24" s="144">
        <v>6760150</v>
      </c>
      <c r="AC24" s="142">
        <v>2565</v>
      </c>
      <c r="AD24" s="140">
        <v>46096</v>
      </c>
      <c r="AE24" s="141">
        <v>6656463</v>
      </c>
      <c r="AF24" s="142">
        <v>2565</v>
      </c>
      <c r="AG24" s="140">
        <v>46108</v>
      </c>
      <c r="AH24" s="141">
        <v>9111778</v>
      </c>
      <c r="AI24" s="142">
        <v>2565</v>
      </c>
      <c r="AJ24" s="140">
        <v>46140</v>
      </c>
      <c r="AK24" s="141">
        <v>9959550</v>
      </c>
      <c r="AL24" s="142">
        <v>2565</v>
      </c>
      <c r="AM24" s="140">
        <v>46158</v>
      </c>
      <c r="AN24" s="141">
        <v>1341080</v>
      </c>
      <c r="AO24" s="173" t="s">
        <v>816</v>
      </c>
    </row>
    <row r="25" spans="1:41" ht="24" customHeight="1" x14ac:dyDescent="0.3">
      <c r="A25" s="555"/>
      <c r="B25" s="580"/>
      <c r="C25" s="581"/>
      <c r="D25" s="703" t="s">
        <v>459</v>
      </c>
      <c r="E25" s="301"/>
      <c r="F25" s="302"/>
      <c r="G25" s="303"/>
      <c r="H25" s="139">
        <v>2794</v>
      </c>
      <c r="I25" s="140">
        <v>45905</v>
      </c>
      <c r="J25" s="141">
        <v>1592829844</v>
      </c>
      <c r="K25" s="142">
        <v>2794</v>
      </c>
      <c r="L25" s="140">
        <v>45936</v>
      </c>
      <c r="M25" s="141">
        <v>1592829844</v>
      </c>
      <c r="N25" s="142">
        <v>2794</v>
      </c>
      <c r="O25" s="140">
        <v>45964</v>
      </c>
      <c r="P25" s="141">
        <v>1592829844</v>
      </c>
      <c r="Q25" s="142">
        <v>2794</v>
      </c>
      <c r="R25" s="140">
        <v>45964</v>
      </c>
      <c r="S25" s="141">
        <v>1592829844</v>
      </c>
      <c r="T25" s="142">
        <v>3194</v>
      </c>
      <c r="U25" s="140">
        <v>46057</v>
      </c>
      <c r="V25" s="141">
        <v>4589763122</v>
      </c>
      <c r="W25" s="333"/>
      <c r="X25" s="302"/>
      <c r="Y25" s="303"/>
      <c r="Z25" s="142">
        <v>3174</v>
      </c>
      <c r="AA25" s="140">
        <v>46100</v>
      </c>
      <c r="AB25" s="144">
        <v>83057999</v>
      </c>
      <c r="AC25" s="617">
        <v>3190</v>
      </c>
      <c r="AD25" s="618">
        <v>46147</v>
      </c>
      <c r="AE25" s="619">
        <v>54733770</v>
      </c>
      <c r="AF25" s="617">
        <v>3190</v>
      </c>
      <c r="AG25" s="618">
        <v>46147</v>
      </c>
      <c r="AH25" s="620">
        <v>54733770</v>
      </c>
      <c r="AI25" s="621"/>
      <c r="AJ25" s="140"/>
      <c r="AK25" s="575"/>
      <c r="AL25" s="555"/>
      <c r="AM25" s="555"/>
      <c r="AN25" s="555"/>
      <c r="AO25" s="1141">
        <v>6380</v>
      </c>
    </row>
    <row r="26" spans="1:41" x14ac:dyDescent="0.3">
      <c r="A26" s="555"/>
      <c r="B26" s="580"/>
      <c r="C26" s="581"/>
      <c r="D26" s="616"/>
      <c r="E26" s="139"/>
      <c r="F26" s="140"/>
      <c r="G26" s="141"/>
      <c r="H26" s="142"/>
      <c r="I26" s="140"/>
      <c r="J26" s="141"/>
      <c r="K26" s="142"/>
      <c r="L26" s="140"/>
      <c r="M26" s="141"/>
      <c r="N26" s="142"/>
      <c r="O26" s="140"/>
      <c r="P26" s="141"/>
      <c r="Q26" s="142"/>
      <c r="R26" s="140"/>
      <c r="S26" s="141"/>
      <c r="T26" s="142"/>
      <c r="U26" s="140"/>
      <c r="V26" s="141"/>
      <c r="W26" s="142"/>
      <c r="X26" s="140"/>
      <c r="Y26" s="141"/>
      <c r="Z26" s="142"/>
      <c r="AA26" s="140"/>
      <c r="AB26" s="144"/>
      <c r="AC26" s="142"/>
      <c r="AD26" s="140"/>
      <c r="AE26" s="144"/>
      <c r="AF26" s="142"/>
      <c r="AG26" s="140"/>
      <c r="AH26" s="141"/>
      <c r="AI26" s="142"/>
      <c r="AJ26" s="140"/>
      <c r="AK26" s="141"/>
      <c r="AL26" s="142"/>
      <c r="AM26" s="140"/>
      <c r="AN26" s="144"/>
    </row>
    <row r="27" spans="1:41" x14ac:dyDescent="0.3">
      <c r="A27" s="555"/>
      <c r="B27" s="580"/>
      <c r="C27" s="581"/>
      <c r="D27" s="616"/>
      <c r="E27" s="142"/>
      <c r="F27" s="140"/>
      <c r="G27" s="145"/>
      <c r="H27" s="142"/>
      <c r="I27" s="140"/>
      <c r="J27" s="141"/>
      <c r="K27" s="142"/>
      <c r="L27" s="140"/>
      <c r="M27" s="141"/>
      <c r="N27" s="142"/>
      <c r="O27" s="140"/>
      <c r="P27" s="141"/>
      <c r="Q27" s="142"/>
      <c r="R27" s="140"/>
      <c r="S27" s="144"/>
      <c r="T27" s="142"/>
      <c r="U27" s="140"/>
      <c r="V27" s="144"/>
      <c r="W27" s="142"/>
      <c r="X27" s="140"/>
      <c r="Y27" s="141"/>
      <c r="Z27" s="142"/>
      <c r="AA27" s="140"/>
      <c r="AB27" s="144"/>
      <c r="AC27" s="142"/>
      <c r="AD27" s="140"/>
      <c r="AE27" s="144"/>
      <c r="AF27" s="142"/>
      <c r="AG27" s="140"/>
      <c r="AH27" s="144"/>
      <c r="AI27" s="142"/>
      <c r="AJ27" s="140"/>
      <c r="AK27" s="141"/>
      <c r="AL27" s="142"/>
      <c r="AM27" s="140"/>
      <c r="AN27" s="144"/>
    </row>
    <row r="28" spans="1:41" x14ac:dyDescent="0.3">
      <c r="A28" s="555"/>
      <c r="B28" s="622"/>
      <c r="C28" s="581"/>
      <c r="D28" s="616"/>
      <c r="E28" s="142"/>
      <c r="F28" s="140"/>
      <c r="G28" s="145"/>
      <c r="H28" s="142"/>
      <c r="I28" s="140"/>
      <c r="J28" s="141"/>
      <c r="K28" s="142"/>
      <c r="L28" s="140"/>
      <c r="M28" s="141"/>
      <c r="N28" s="142"/>
      <c r="O28" s="140"/>
      <c r="P28" s="141"/>
      <c r="Q28" s="142"/>
      <c r="R28" s="140"/>
      <c r="S28" s="141"/>
      <c r="T28" s="142"/>
      <c r="U28" s="140"/>
      <c r="V28" s="141"/>
      <c r="W28" s="142"/>
      <c r="X28" s="140"/>
      <c r="Y28" s="146"/>
      <c r="Z28" s="142"/>
      <c r="AA28" s="140"/>
      <c r="AB28" s="144"/>
      <c r="AC28" s="142"/>
      <c r="AD28" s="140"/>
      <c r="AE28" s="144"/>
      <c r="AF28" s="142"/>
      <c r="AG28" s="140"/>
      <c r="AH28" s="144"/>
      <c r="AI28" s="142"/>
      <c r="AJ28" s="140"/>
      <c r="AK28" s="141"/>
      <c r="AL28" s="142"/>
      <c r="AM28" s="140"/>
      <c r="AN28" s="144"/>
    </row>
    <row r="29" spans="1:41" ht="21" customHeight="1" x14ac:dyDescent="0.3">
      <c r="A29" s="555"/>
      <c r="B29" s="580"/>
      <c r="C29" s="581"/>
      <c r="D29" s="616"/>
      <c r="E29" s="142"/>
      <c r="F29" s="140"/>
      <c r="G29" s="141"/>
      <c r="H29" s="142"/>
      <c r="I29" s="140"/>
      <c r="J29" s="141"/>
      <c r="K29" s="142"/>
      <c r="L29" s="140"/>
      <c r="M29" s="141"/>
      <c r="N29" s="142"/>
      <c r="O29" s="140"/>
      <c r="P29" s="141"/>
      <c r="Q29" s="142"/>
      <c r="R29" s="140"/>
      <c r="S29" s="141"/>
      <c r="T29" s="142"/>
      <c r="U29" s="140"/>
      <c r="V29" s="141"/>
      <c r="W29" s="142"/>
      <c r="X29" s="140"/>
      <c r="Y29" s="141"/>
      <c r="Z29" s="142"/>
      <c r="AA29" s="140"/>
      <c r="AB29" s="144"/>
      <c r="AC29" s="142"/>
      <c r="AD29" s="140"/>
      <c r="AE29" s="144"/>
      <c r="AF29" s="142"/>
      <c r="AG29" s="140"/>
      <c r="AH29" s="144"/>
      <c r="AI29" s="142"/>
      <c r="AJ29" s="140"/>
      <c r="AK29" s="141"/>
      <c r="AL29" s="142"/>
      <c r="AM29" s="140"/>
      <c r="AN29" s="144"/>
    </row>
    <row r="30" spans="1:41" ht="21" customHeight="1" x14ac:dyDescent="0.3">
      <c r="A30" s="555"/>
      <c r="B30" s="580"/>
      <c r="C30" s="581"/>
      <c r="D30" s="616"/>
      <c r="E30" s="142"/>
      <c r="F30" s="140"/>
      <c r="G30" s="141"/>
      <c r="H30" s="142"/>
      <c r="I30" s="140"/>
      <c r="J30" s="141"/>
      <c r="K30" s="142"/>
      <c r="L30" s="140"/>
      <c r="M30" s="141"/>
      <c r="N30" s="142"/>
      <c r="O30" s="140"/>
      <c r="P30" s="141"/>
      <c r="Q30" s="142"/>
      <c r="R30" s="140"/>
      <c r="S30" s="141"/>
      <c r="T30" s="142"/>
      <c r="U30" s="140"/>
      <c r="V30" s="144"/>
      <c r="W30" s="142"/>
      <c r="X30" s="140"/>
      <c r="Y30" s="141"/>
      <c r="Z30" s="142"/>
      <c r="AA30" s="140"/>
      <c r="AB30" s="144"/>
      <c r="AC30" s="142"/>
      <c r="AD30" s="140"/>
      <c r="AE30" s="144"/>
      <c r="AF30" s="142"/>
      <c r="AG30" s="140"/>
      <c r="AH30" s="144"/>
      <c r="AI30" s="142"/>
      <c r="AJ30" s="140"/>
      <c r="AK30" s="141"/>
      <c r="AL30" s="142"/>
      <c r="AM30" s="140"/>
      <c r="AN30" s="144"/>
    </row>
    <row r="31" spans="1:41" x14ac:dyDescent="0.3">
      <c r="A31" s="555"/>
      <c r="B31" s="580"/>
      <c r="C31" s="581"/>
      <c r="D31" s="616"/>
      <c r="E31" s="142"/>
      <c r="F31" s="140"/>
      <c r="G31" s="144"/>
      <c r="H31" s="142"/>
      <c r="I31" s="140"/>
      <c r="J31" s="141"/>
      <c r="K31" s="142"/>
      <c r="L31" s="140"/>
      <c r="M31" s="141"/>
      <c r="N31" s="142"/>
      <c r="O31" s="140"/>
      <c r="P31" s="141"/>
      <c r="Q31" s="142"/>
      <c r="R31" s="140"/>
      <c r="S31" s="141"/>
      <c r="T31" s="142"/>
      <c r="U31" s="140"/>
      <c r="V31" s="144"/>
      <c r="W31" s="142"/>
      <c r="X31" s="140"/>
      <c r="Y31" s="141"/>
      <c r="Z31" s="142"/>
      <c r="AA31" s="140"/>
      <c r="AB31" s="144"/>
      <c r="AC31" s="142"/>
      <c r="AD31" s="140"/>
      <c r="AE31" s="144"/>
      <c r="AF31" s="142"/>
      <c r="AG31" s="140"/>
      <c r="AH31" s="144"/>
      <c r="AI31" s="142"/>
      <c r="AJ31" s="140"/>
      <c r="AK31" s="141"/>
      <c r="AL31" s="142"/>
      <c r="AM31" s="140"/>
      <c r="AN31" s="144"/>
    </row>
    <row r="32" spans="1:41" x14ac:dyDescent="0.3">
      <c r="A32" s="555"/>
      <c r="B32" s="623"/>
      <c r="C32" s="624"/>
      <c r="D32" s="616"/>
      <c r="E32" s="142"/>
      <c r="F32" s="140"/>
      <c r="G32" s="144"/>
      <c r="H32" s="142"/>
      <c r="I32" s="140"/>
      <c r="J32" s="141"/>
      <c r="K32" s="142"/>
      <c r="L32" s="140"/>
      <c r="M32" s="141"/>
      <c r="N32" s="142"/>
      <c r="O32" s="140"/>
      <c r="P32" s="141"/>
      <c r="Q32" s="142"/>
      <c r="R32" s="140"/>
      <c r="S32" s="141"/>
      <c r="T32" s="142"/>
      <c r="U32" s="140"/>
      <c r="V32" s="144"/>
      <c r="W32" s="142"/>
      <c r="X32" s="140"/>
      <c r="Y32" s="141"/>
      <c r="Z32" s="142"/>
      <c r="AA32" s="140"/>
      <c r="AB32" s="144"/>
      <c r="AC32" s="142"/>
      <c r="AD32" s="140"/>
      <c r="AE32" s="144"/>
      <c r="AF32" s="142"/>
      <c r="AG32" s="140"/>
      <c r="AH32" s="144"/>
      <c r="AI32" s="142"/>
      <c r="AJ32" s="140"/>
      <c r="AK32" s="141"/>
      <c r="AL32" s="142"/>
      <c r="AM32" s="140"/>
      <c r="AN32" s="144"/>
    </row>
    <row r="33" spans="1:40" x14ac:dyDescent="0.3">
      <c r="A33" s="555"/>
      <c r="B33" s="580"/>
      <c r="C33" s="581"/>
      <c r="D33" s="616"/>
      <c r="E33" s="142"/>
      <c r="F33" s="140"/>
      <c r="G33" s="144"/>
      <c r="H33" s="142"/>
      <c r="I33" s="140"/>
      <c r="J33" s="141"/>
      <c r="K33" s="142"/>
      <c r="L33" s="140"/>
      <c r="M33" s="141"/>
      <c r="N33" s="142"/>
      <c r="O33" s="140"/>
      <c r="P33" s="141"/>
      <c r="Q33" s="142"/>
      <c r="R33" s="140"/>
      <c r="S33" s="141"/>
      <c r="T33" s="142"/>
      <c r="U33" s="140"/>
      <c r="V33" s="144"/>
      <c r="W33" s="142"/>
      <c r="X33" s="140"/>
      <c r="Y33" s="141"/>
      <c r="Z33" s="142"/>
      <c r="AA33" s="140"/>
      <c r="AB33" s="144"/>
      <c r="AC33" s="142"/>
      <c r="AD33" s="140"/>
      <c r="AE33" s="144"/>
      <c r="AF33" s="142"/>
      <c r="AG33" s="140"/>
      <c r="AH33" s="144"/>
      <c r="AI33" s="142"/>
      <c r="AJ33" s="140"/>
      <c r="AK33" s="141"/>
      <c r="AL33" s="142"/>
      <c r="AM33" s="140"/>
      <c r="AN33" s="144"/>
    </row>
    <row r="34" spans="1:40" x14ac:dyDescent="0.3">
      <c r="A34" s="555"/>
      <c r="B34" s="580"/>
      <c r="C34" s="581"/>
      <c r="D34" s="616"/>
      <c r="E34" s="142"/>
      <c r="F34" s="140"/>
      <c r="G34" s="141"/>
      <c r="H34" s="142"/>
      <c r="I34" s="140"/>
      <c r="J34" s="141"/>
      <c r="K34" s="142"/>
      <c r="L34" s="140"/>
      <c r="M34" s="141"/>
      <c r="N34" s="142"/>
      <c r="O34" s="140"/>
      <c r="P34" s="141"/>
      <c r="Q34" s="142"/>
      <c r="R34" s="140"/>
      <c r="S34" s="141"/>
      <c r="T34" s="142"/>
      <c r="U34" s="140"/>
      <c r="V34" s="144"/>
      <c r="W34" s="142"/>
      <c r="X34" s="140"/>
      <c r="Y34" s="145"/>
      <c r="Z34" s="142"/>
      <c r="AA34" s="140"/>
      <c r="AB34" s="144"/>
      <c r="AC34" s="142"/>
      <c r="AD34" s="140"/>
      <c r="AE34" s="144"/>
      <c r="AF34" s="142"/>
      <c r="AG34" s="140"/>
      <c r="AH34" s="144"/>
      <c r="AI34" s="142"/>
      <c r="AJ34" s="140"/>
      <c r="AK34" s="141"/>
      <c r="AL34" s="142"/>
      <c r="AM34" s="140"/>
      <c r="AN34" s="144"/>
    </row>
    <row r="35" spans="1:40" x14ac:dyDescent="0.3">
      <c r="A35" s="555"/>
      <c r="B35" s="580"/>
      <c r="C35" s="581"/>
      <c r="D35" s="616"/>
      <c r="E35" s="142"/>
      <c r="F35" s="140"/>
      <c r="G35" s="144"/>
      <c r="H35" s="142"/>
      <c r="I35" s="140"/>
      <c r="J35" s="141"/>
      <c r="K35" s="142"/>
      <c r="L35" s="140"/>
      <c r="M35" s="141"/>
      <c r="N35" s="142"/>
      <c r="O35" s="140"/>
      <c r="P35" s="141"/>
      <c r="Q35" s="142"/>
      <c r="R35" s="140"/>
      <c r="S35" s="141"/>
      <c r="T35" s="142"/>
      <c r="U35" s="140"/>
      <c r="V35" s="144"/>
      <c r="W35" s="142"/>
      <c r="X35" s="140"/>
      <c r="Y35" s="141"/>
      <c r="Z35" s="142"/>
      <c r="AA35" s="140"/>
      <c r="AB35" s="144"/>
      <c r="AC35" s="142"/>
      <c r="AD35" s="140"/>
      <c r="AE35" s="144"/>
      <c r="AF35" s="142"/>
      <c r="AG35" s="140"/>
      <c r="AH35" s="144"/>
      <c r="AI35" s="142"/>
      <c r="AJ35" s="140"/>
      <c r="AK35" s="141"/>
      <c r="AL35" s="142"/>
      <c r="AM35" s="140"/>
      <c r="AN35" s="144"/>
    </row>
    <row r="36" spans="1:40" x14ac:dyDescent="0.3">
      <c r="A36" s="555"/>
      <c r="B36" s="580"/>
      <c r="C36" s="581"/>
      <c r="D36" s="616"/>
      <c r="E36" s="142"/>
      <c r="F36" s="140"/>
      <c r="G36" s="144"/>
      <c r="H36" s="142"/>
      <c r="I36" s="140"/>
      <c r="J36" s="144"/>
      <c r="K36" s="142"/>
      <c r="L36" s="140"/>
      <c r="M36" s="144"/>
      <c r="N36" s="142"/>
      <c r="O36" s="140"/>
      <c r="P36" s="144"/>
      <c r="Q36" s="142"/>
      <c r="R36" s="140"/>
      <c r="S36" s="144"/>
      <c r="T36" s="142"/>
      <c r="U36" s="140"/>
      <c r="V36" s="144"/>
      <c r="W36" s="142"/>
      <c r="X36" s="140"/>
      <c r="Y36" s="141"/>
      <c r="Z36" s="142"/>
      <c r="AA36" s="140"/>
      <c r="AB36" s="144"/>
      <c r="AC36" s="142"/>
      <c r="AD36" s="140"/>
      <c r="AE36" s="144"/>
      <c r="AF36" s="142"/>
      <c r="AG36" s="140"/>
      <c r="AH36" s="144"/>
      <c r="AI36" s="142"/>
      <c r="AJ36" s="140"/>
      <c r="AK36" s="141"/>
      <c r="AL36" s="142"/>
      <c r="AM36" s="140"/>
      <c r="AN36" s="144"/>
    </row>
    <row r="37" spans="1:40" x14ac:dyDescent="0.3">
      <c r="A37" s="555"/>
      <c r="B37" s="580"/>
      <c r="C37" s="581"/>
      <c r="D37" s="616"/>
      <c r="E37" s="142"/>
      <c r="F37" s="140"/>
      <c r="G37" s="144"/>
      <c r="H37" s="142"/>
      <c r="I37" s="140"/>
      <c r="J37" s="144"/>
      <c r="K37" s="142"/>
      <c r="L37" s="140"/>
      <c r="M37" s="141"/>
      <c r="N37" s="142"/>
      <c r="O37" s="140"/>
      <c r="P37" s="141"/>
      <c r="Q37" s="142"/>
      <c r="R37" s="140"/>
      <c r="S37" s="144"/>
      <c r="T37" s="142"/>
      <c r="U37" s="140"/>
      <c r="V37" s="144"/>
      <c r="W37" s="142"/>
      <c r="X37" s="140"/>
      <c r="Y37" s="141"/>
      <c r="Z37" s="142"/>
      <c r="AA37" s="140"/>
      <c r="AB37" s="144"/>
      <c r="AC37" s="142"/>
      <c r="AD37" s="140"/>
      <c r="AE37" s="144"/>
      <c r="AF37" s="142"/>
      <c r="AG37" s="140"/>
      <c r="AH37" s="144"/>
      <c r="AI37" s="142"/>
      <c r="AJ37" s="140"/>
      <c r="AK37" s="141"/>
      <c r="AL37" s="142"/>
      <c r="AM37" s="140"/>
      <c r="AN37" s="144"/>
    </row>
    <row r="38" spans="1:40" ht="25.5" customHeight="1" thickBot="1" x14ac:dyDescent="0.35">
      <c r="A38" s="555"/>
      <c r="B38" s="594"/>
      <c r="C38" s="595"/>
      <c r="D38" s="625"/>
      <c r="E38" s="149"/>
      <c r="F38" s="150"/>
      <c r="G38" s="151"/>
      <c r="H38" s="149"/>
      <c r="I38" s="150"/>
      <c r="J38" s="152"/>
      <c r="K38" s="149"/>
      <c r="L38" s="150"/>
      <c r="M38" s="152"/>
      <c r="N38" s="149"/>
      <c r="O38" s="150"/>
      <c r="P38" s="152"/>
      <c r="Q38" s="149"/>
      <c r="R38" s="150"/>
      <c r="S38" s="151"/>
      <c r="T38" s="149"/>
      <c r="U38" s="150"/>
      <c r="V38" s="152"/>
      <c r="W38" s="149"/>
      <c r="X38" s="150"/>
      <c r="Y38" s="152"/>
      <c r="Z38" s="149"/>
      <c r="AA38" s="150"/>
      <c r="AB38" s="151"/>
      <c r="AC38" s="149"/>
      <c r="AD38" s="150"/>
      <c r="AE38" s="151"/>
      <c r="AF38" s="149"/>
      <c r="AG38" s="150"/>
      <c r="AH38" s="151"/>
      <c r="AI38" s="149"/>
      <c r="AJ38" s="150"/>
      <c r="AK38" s="152"/>
      <c r="AL38" s="149"/>
      <c r="AM38" s="150"/>
      <c r="AN38" s="151"/>
    </row>
  </sheetData>
  <autoFilter ref="B7:X7" xr:uid="{00000000-0009-0000-0000-000002000000}"/>
  <mergeCells count="21">
    <mergeCell ref="F1:Q1"/>
    <mergeCell ref="S1:U1"/>
    <mergeCell ref="F2:Q2"/>
    <mergeCell ref="S2:U2"/>
    <mergeCell ref="F3:Q3"/>
    <mergeCell ref="S3:U3"/>
    <mergeCell ref="W20:Y20"/>
    <mergeCell ref="Z20:AB20"/>
    <mergeCell ref="AC20:AE20"/>
    <mergeCell ref="AF20:AH20"/>
    <mergeCell ref="F4:Q4"/>
    <mergeCell ref="S4:U4"/>
    <mergeCell ref="B19:AN19"/>
    <mergeCell ref="E20:G20"/>
    <mergeCell ref="H20:J20"/>
    <mergeCell ref="K20:M20"/>
    <mergeCell ref="N20:P20"/>
    <mergeCell ref="Q20:S20"/>
    <mergeCell ref="T20:V20"/>
    <mergeCell ref="AL20:AN20"/>
    <mergeCell ref="AI20:AK20"/>
  </mergeCells>
  <conditionalFormatting sqref="E22:AN24 E25:AK25 E26:AN38">
    <cfRule type="notContainsBlanks" dxfId="31" priority="2">
      <formula>LEN(TRIM(E22))&gt;0</formula>
    </cfRule>
    <cfRule type="notContainsBlanks" dxfId="30" priority="3">
      <formula>LEN(TRIM(E22))&gt;0</formula>
    </cfRule>
  </conditionalFormatting>
  <conditionalFormatting sqref="F8:T11 I12:T12 F13:T14">
    <cfRule type="notContainsBlanks" dxfId="29" priority="1">
      <formula>LEN(TRIM(F8))&gt;0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7"/>
  <sheetViews>
    <sheetView topLeftCell="C1" zoomScale="110" zoomScaleNormal="110" workbookViewId="0">
      <pane xSplit="2" ySplit="1" topLeftCell="E2" activePane="bottomRight" state="frozen"/>
      <selection activeCell="C1" sqref="C1"/>
      <selection pane="topRight" activeCell="E1" sqref="E1"/>
      <selection pane="bottomLeft" activeCell="C2" sqref="C2"/>
      <selection pane="bottomRight" activeCell="AF24" sqref="AF24"/>
    </sheetView>
  </sheetViews>
  <sheetFormatPr baseColWidth="10" defaultRowHeight="13.8" x14ac:dyDescent="0.3"/>
  <cols>
    <col min="1" max="1" width="25" style="626" hidden="1" customWidth="1"/>
    <col min="2" max="2" width="15.21875" style="173" hidden="1" customWidth="1"/>
    <col min="3" max="3" width="18.109375" style="173" customWidth="1"/>
    <col min="4" max="4" width="35.21875" style="173" customWidth="1"/>
    <col min="5" max="5" width="16.109375" style="173" customWidth="1"/>
    <col min="6" max="6" width="17.21875" style="173" customWidth="1"/>
    <col min="7" max="7" width="23.109375" style="173" customWidth="1"/>
    <col min="8" max="8" width="11.77734375" style="173" customWidth="1"/>
    <col min="9" max="9" width="15.44140625" style="173" customWidth="1"/>
    <col min="10" max="10" width="18.5546875" style="173" customWidth="1"/>
    <col min="11" max="11" width="17.21875" style="173" customWidth="1"/>
    <col min="12" max="12" width="15.33203125" style="173" customWidth="1"/>
    <col min="13" max="13" width="18.5546875" style="173" customWidth="1"/>
    <col min="14" max="14" width="17.21875" style="173" customWidth="1"/>
    <col min="15" max="15" width="13.44140625" style="173" customWidth="1"/>
    <col min="16" max="16" width="20.109375" style="173" customWidth="1"/>
    <col min="17" max="17" width="17.6640625" style="173" customWidth="1"/>
    <col min="18" max="18" width="15" style="173" customWidth="1"/>
    <col min="19" max="19" width="20.109375" style="627" customWidth="1"/>
    <col min="20" max="20" width="11.33203125" style="173" customWidth="1"/>
    <col min="21" max="21" width="14.77734375" style="173" customWidth="1"/>
    <col min="22" max="22" width="22.77734375" style="173" customWidth="1"/>
    <col min="23" max="23" width="12.44140625" style="173" customWidth="1"/>
    <col min="24" max="24" width="12.33203125" style="173" customWidth="1"/>
    <col min="25" max="25" width="20.109375" style="173" customWidth="1"/>
    <col min="26" max="26" width="11.109375" style="173" bestFit="1" customWidth="1"/>
    <col min="27" max="27" width="10.88671875" style="173" bestFit="1" customWidth="1"/>
    <col min="28" max="28" width="22.77734375" style="173" bestFit="1" customWidth="1"/>
    <col min="29" max="29" width="11.109375" style="173" bestFit="1" customWidth="1"/>
    <col min="30" max="30" width="14" style="173" customWidth="1"/>
    <col min="31" max="31" width="20.6640625" style="173" bestFit="1" customWidth="1"/>
    <col min="32" max="32" width="12.21875" style="173" bestFit="1" customWidth="1"/>
    <col min="33" max="33" width="10.88671875" style="173" bestFit="1" customWidth="1"/>
    <col min="34" max="34" width="18.21875" style="173" customWidth="1"/>
    <col min="35" max="35" width="11.109375" style="173" bestFit="1" customWidth="1"/>
    <col min="36" max="36" width="15.44140625" style="173" customWidth="1"/>
    <col min="37" max="37" width="11.5546875" style="173" customWidth="1"/>
    <col min="38" max="38" width="10.44140625" style="173" bestFit="1" customWidth="1"/>
    <col min="39" max="39" width="10.109375" style="173" bestFit="1" customWidth="1"/>
    <col min="40" max="40" width="9.5546875" style="173" bestFit="1" customWidth="1"/>
    <col min="41" max="16384" width="11.5546875" style="173"/>
  </cols>
  <sheetData>
    <row r="1" spans="1:24" ht="14.4" thickBot="1" x14ac:dyDescent="0.35">
      <c r="E1" s="524"/>
      <c r="F1" s="1370" t="s">
        <v>0</v>
      </c>
      <c r="G1" s="1370"/>
      <c r="H1" s="1370"/>
      <c r="I1" s="1370"/>
      <c r="J1" s="1370"/>
      <c r="K1" s="1370"/>
      <c r="L1" s="1370"/>
      <c r="M1" s="1370"/>
      <c r="N1" s="1370"/>
      <c r="O1" s="1370"/>
      <c r="P1" s="1370"/>
      <c r="Q1" s="1370"/>
      <c r="R1" s="525"/>
      <c r="S1" s="1364" t="s">
        <v>1</v>
      </c>
      <c r="T1" s="1364"/>
      <c r="U1" s="1365"/>
    </row>
    <row r="2" spans="1:24" ht="14.4" thickBot="1" x14ac:dyDescent="0.35">
      <c r="E2" s="527"/>
      <c r="F2" s="1371" t="s">
        <v>2</v>
      </c>
      <c r="G2" s="1371"/>
      <c r="H2" s="1371"/>
      <c r="I2" s="1371"/>
      <c r="J2" s="1371"/>
      <c r="K2" s="1371"/>
      <c r="L2" s="1371"/>
      <c r="M2" s="1371"/>
      <c r="N2" s="1371"/>
      <c r="O2" s="1371"/>
      <c r="P2" s="1371"/>
      <c r="Q2" s="1371"/>
      <c r="R2" s="528"/>
      <c r="S2" s="1364" t="s">
        <v>3</v>
      </c>
      <c r="T2" s="1364"/>
      <c r="U2" s="1365"/>
    </row>
    <row r="3" spans="1:24" ht="14.4" thickBot="1" x14ac:dyDescent="0.35">
      <c r="E3" s="3"/>
      <c r="F3" s="1363" t="s">
        <v>4</v>
      </c>
      <c r="G3" s="1363"/>
      <c r="H3" s="1363"/>
      <c r="I3" s="1363"/>
      <c r="J3" s="1363"/>
      <c r="K3" s="1363"/>
      <c r="L3" s="1363"/>
      <c r="M3" s="1363"/>
      <c r="N3" s="1363"/>
      <c r="O3" s="1363"/>
      <c r="P3" s="1363"/>
      <c r="Q3" s="1363"/>
      <c r="R3" s="529"/>
      <c r="S3" s="1364" t="s">
        <v>5</v>
      </c>
      <c r="T3" s="1364"/>
      <c r="U3" s="1365"/>
    </row>
    <row r="4" spans="1:24" ht="14.4" thickBot="1" x14ac:dyDescent="0.35">
      <c r="C4" s="530"/>
      <c r="D4" s="531" t="s">
        <v>6</v>
      </c>
      <c r="F4" s="1363" t="s">
        <v>39</v>
      </c>
      <c r="G4" s="1363"/>
      <c r="H4" s="1363"/>
      <c r="I4" s="1363"/>
      <c r="J4" s="1363"/>
      <c r="K4" s="1363"/>
      <c r="L4" s="1363"/>
      <c r="M4" s="1363"/>
      <c r="N4" s="1363"/>
      <c r="O4" s="1363"/>
      <c r="P4" s="1363"/>
      <c r="Q4" s="1363"/>
      <c r="R4" s="533"/>
      <c r="S4" s="1364" t="s">
        <v>7</v>
      </c>
      <c r="T4" s="1364"/>
      <c r="U4" s="1365"/>
    </row>
    <row r="6" spans="1:24" ht="14.4" thickBot="1" x14ac:dyDescent="0.35"/>
    <row r="7" spans="1:24" ht="14.4" thickBot="1" x14ac:dyDescent="0.35">
      <c r="B7" s="534" t="s">
        <v>9</v>
      </c>
      <c r="C7" s="535" t="s">
        <v>10</v>
      </c>
      <c r="D7" s="536" t="s">
        <v>11</v>
      </c>
      <c r="E7" s="628" t="s">
        <v>12</v>
      </c>
      <c r="F7" s="629" t="s">
        <v>13</v>
      </c>
      <c r="G7" s="629" t="s">
        <v>14</v>
      </c>
      <c r="H7" s="630" t="s">
        <v>15</v>
      </c>
      <c r="I7" s="540" t="s">
        <v>16</v>
      </c>
      <c r="J7" s="541" t="s">
        <v>15</v>
      </c>
      <c r="K7" s="542" t="s">
        <v>14</v>
      </c>
      <c r="L7" s="543" t="s">
        <v>17</v>
      </c>
      <c r="M7" s="544" t="s">
        <v>15</v>
      </c>
      <c r="N7" s="545" t="s">
        <v>14</v>
      </c>
      <c r="O7" s="546" t="s">
        <v>18</v>
      </c>
      <c r="P7" s="547" t="s">
        <v>15</v>
      </c>
      <c r="Q7" s="548" t="s">
        <v>14</v>
      </c>
      <c r="R7" s="549" t="s">
        <v>19</v>
      </c>
      <c r="S7" s="550" t="s">
        <v>15</v>
      </c>
      <c r="T7" s="551" t="s">
        <v>14</v>
      </c>
      <c r="U7" s="552" t="s">
        <v>20</v>
      </c>
      <c r="V7" s="553" t="s">
        <v>21</v>
      </c>
      <c r="W7" s="554" t="s">
        <v>22</v>
      </c>
      <c r="X7" s="554" t="s">
        <v>38</v>
      </c>
    </row>
    <row r="8" spans="1:24" ht="27.6" x14ac:dyDescent="0.3">
      <c r="A8" s="631" t="s">
        <v>139</v>
      </c>
      <c r="B8" s="632" t="s">
        <v>125</v>
      </c>
      <c r="C8" s="633"/>
      <c r="D8" s="634" t="s">
        <v>69</v>
      </c>
      <c r="E8" s="635" t="s">
        <v>54</v>
      </c>
      <c r="F8" s="636" t="s">
        <v>66</v>
      </c>
      <c r="G8" s="637" t="s">
        <v>66</v>
      </c>
      <c r="H8" s="638" t="s">
        <v>66</v>
      </c>
      <c r="I8" s="636">
        <v>2690</v>
      </c>
      <c r="J8" s="639">
        <v>45656</v>
      </c>
      <c r="K8" s="640">
        <v>8.5902113684336496E+16</v>
      </c>
      <c r="L8" s="636">
        <v>2490</v>
      </c>
      <c r="M8" s="639">
        <v>45656</v>
      </c>
      <c r="N8" s="641">
        <v>8.5902113684336496E+16</v>
      </c>
      <c r="O8" s="642">
        <v>5500</v>
      </c>
      <c r="P8" s="639">
        <v>45805</v>
      </c>
      <c r="Q8" s="643">
        <v>8.59030821443148E+16</v>
      </c>
      <c r="R8" s="642"/>
      <c r="S8" s="639"/>
      <c r="T8" s="643"/>
      <c r="U8" s="633"/>
      <c r="V8" s="644"/>
      <c r="W8" s="645"/>
      <c r="X8" s="646"/>
    </row>
    <row r="9" spans="1:24" ht="28.2" thickBot="1" x14ac:dyDescent="0.35">
      <c r="A9" s="631" t="s">
        <v>140</v>
      </c>
      <c r="B9" s="632" t="s">
        <v>125</v>
      </c>
      <c r="C9" s="633"/>
      <c r="D9" s="634" t="s">
        <v>65</v>
      </c>
      <c r="E9" s="635" t="s">
        <v>54</v>
      </c>
      <c r="F9" s="647" t="s">
        <v>66</v>
      </c>
      <c r="G9" s="647" t="s">
        <v>66</v>
      </c>
      <c r="H9" s="647" t="s">
        <v>66</v>
      </c>
      <c r="I9" s="636">
        <v>2690</v>
      </c>
      <c r="J9" s="639">
        <v>45645</v>
      </c>
      <c r="K9" s="641">
        <v>8.5902080244335296E+16</v>
      </c>
      <c r="L9" s="636">
        <v>2490</v>
      </c>
      <c r="M9" s="639">
        <v>45645</v>
      </c>
      <c r="N9" s="641">
        <v>8.5902080244335296E+16</v>
      </c>
      <c r="O9" s="642">
        <v>5500</v>
      </c>
      <c r="P9" s="639">
        <v>45808</v>
      </c>
      <c r="Q9" s="643">
        <v>8.5900907904315104E+16</v>
      </c>
      <c r="R9" s="642"/>
      <c r="S9" s="639"/>
      <c r="T9" s="643"/>
      <c r="U9" s="633"/>
      <c r="V9" s="644"/>
      <c r="W9" s="645"/>
      <c r="X9" s="646"/>
    </row>
    <row r="10" spans="1:24" ht="28.2" thickBot="1" x14ac:dyDescent="0.35">
      <c r="A10" s="631" t="s">
        <v>141</v>
      </c>
      <c r="B10" s="632" t="s">
        <v>77</v>
      </c>
      <c r="C10" s="530"/>
      <c r="D10" s="648" t="s">
        <v>76</v>
      </c>
      <c r="E10" s="635" t="s">
        <v>54</v>
      </c>
      <c r="F10" s="647" t="s">
        <v>66</v>
      </c>
      <c r="G10" s="647" t="s">
        <v>66</v>
      </c>
      <c r="H10" s="647" t="s">
        <v>66</v>
      </c>
      <c r="I10" s="636">
        <v>2690</v>
      </c>
      <c r="J10" s="639">
        <v>45675</v>
      </c>
      <c r="K10" s="640">
        <v>6192027242</v>
      </c>
      <c r="L10" s="636">
        <v>2490</v>
      </c>
      <c r="M10" s="639">
        <v>45675</v>
      </c>
      <c r="N10" s="640">
        <v>6192027242</v>
      </c>
      <c r="O10" s="642">
        <v>5500</v>
      </c>
      <c r="P10" s="639">
        <v>45797</v>
      </c>
      <c r="Q10" s="643">
        <v>6729893681</v>
      </c>
      <c r="R10" s="642">
        <v>3085</v>
      </c>
      <c r="S10" s="639">
        <v>45896</v>
      </c>
      <c r="T10" s="643" t="s">
        <v>72</v>
      </c>
      <c r="U10" s="633" t="s">
        <v>258</v>
      </c>
      <c r="V10" s="644">
        <v>0.25</v>
      </c>
      <c r="W10" s="645">
        <v>3838.8</v>
      </c>
      <c r="X10" s="646">
        <v>2879</v>
      </c>
    </row>
    <row r="11" spans="1:24" ht="28.2" thickBot="1" x14ac:dyDescent="0.35">
      <c r="A11" s="631" t="s">
        <v>142</v>
      </c>
      <c r="B11" s="526" t="s">
        <v>77</v>
      </c>
      <c r="C11" s="633"/>
      <c r="D11" s="1323" t="s">
        <v>80</v>
      </c>
      <c r="E11" s="1324" t="s">
        <v>54</v>
      </c>
      <c r="F11" s="647" t="s">
        <v>66</v>
      </c>
      <c r="G11" s="647" t="s">
        <v>66</v>
      </c>
      <c r="H11" s="649">
        <v>0</v>
      </c>
      <c r="I11" s="636">
        <v>2690</v>
      </c>
      <c r="J11" s="639">
        <v>45874</v>
      </c>
      <c r="K11" s="641">
        <v>8.5901284614321696E+16</v>
      </c>
      <c r="L11" s="636">
        <v>2490</v>
      </c>
      <c r="M11" s="639">
        <v>45678</v>
      </c>
      <c r="N11" s="641">
        <v>8.5905808994302096E+16</v>
      </c>
      <c r="O11" s="642">
        <v>5500</v>
      </c>
      <c r="P11" s="639">
        <v>45819</v>
      </c>
      <c r="Q11" s="643">
        <v>8.5902439384316192E+16</v>
      </c>
      <c r="R11" s="642">
        <v>3085</v>
      </c>
      <c r="S11" s="639"/>
      <c r="T11" s="643" t="s">
        <v>72</v>
      </c>
      <c r="U11" s="1325" t="s">
        <v>196</v>
      </c>
      <c r="V11" s="1326">
        <v>0.25</v>
      </c>
      <c r="W11" s="1327">
        <v>3199</v>
      </c>
      <c r="X11" s="1328">
        <v>2399</v>
      </c>
    </row>
    <row r="12" spans="1:24" x14ac:dyDescent="0.3">
      <c r="A12" s="631" t="s">
        <v>143</v>
      </c>
      <c r="B12" s="632" t="s">
        <v>125</v>
      </c>
      <c r="C12" s="633"/>
      <c r="D12" s="648" t="s">
        <v>820</v>
      </c>
      <c r="E12" s="635" t="s">
        <v>87</v>
      </c>
      <c r="F12" s="647" t="s">
        <v>66</v>
      </c>
      <c r="G12" s="647" t="s">
        <v>66</v>
      </c>
      <c r="H12" s="649">
        <v>45719</v>
      </c>
      <c r="I12" s="636">
        <v>2690</v>
      </c>
      <c r="J12" s="639"/>
      <c r="K12" s="641"/>
      <c r="L12" s="636">
        <v>2490</v>
      </c>
      <c r="M12" s="650">
        <v>45719</v>
      </c>
      <c r="N12" s="640">
        <v>772948</v>
      </c>
      <c r="O12" s="642">
        <v>5500</v>
      </c>
      <c r="P12" s="639">
        <v>45798</v>
      </c>
      <c r="Q12" s="643">
        <v>30828</v>
      </c>
      <c r="R12" s="642"/>
      <c r="S12" s="639"/>
      <c r="T12" s="643"/>
      <c r="U12" s="633" t="s">
        <v>211</v>
      </c>
      <c r="V12" s="644">
        <v>0.25</v>
      </c>
      <c r="W12" s="645">
        <v>3199</v>
      </c>
      <c r="X12" s="646">
        <v>2399</v>
      </c>
    </row>
    <row r="13" spans="1:24" ht="28.05" customHeight="1" x14ac:dyDescent="0.3">
      <c r="A13" s="631" t="s">
        <v>144</v>
      </c>
      <c r="B13" s="632" t="s">
        <v>77</v>
      </c>
      <c r="C13" s="633"/>
      <c r="D13" s="648" t="s">
        <v>121</v>
      </c>
      <c r="E13" s="635" t="s">
        <v>87</v>
      </c>
      <c r="F13" s="647" t="s">
        <v>66</v>
      </c>
      <c r="G13" s="647" t="s">
        <v>66</v>
      </c>
      <c r="H13" s="649">
        <v>45719</v>
      </c>
      <c r="I13" s="636"/>
      <c r="J13" s="640"/>
      <c r="K13" s="640"/>
      <c r="L13" s="636">
        <v>2490</v>
      </c>
      <c r="M13" s="639">
        <v>45719</v>
      </c>
      <c r="N13" s="640">
        <v>303251</v>
      </c>
      <c r="O13" s="642">
        <v>4000</v>
      </c>
      <c r="P13" s="639">
        <v>45904</v>
      </c>
      <c r="Q13" s="643">
        <v>89428950</v>
      </c>
      <c r="R13" s="642"/>
      <c r="S13" s="639"/>
      <c r="T13" s="643"/>
      <c r="U13" s="633" t="s">
        <v>211</v>
      </c>
      <c r="V13" s="644">
        <v>0.3</v>
      </c>
      <c r="W13" s="645">
        <v>3199</v>
      </c>
      <c r="X13" s="646">
        <v>2239</v>
      </c>
    </row>
    <row r="14" spans="1:24" x14ac:dyDescent="0.3">
      <c r="A14" s="631" t="s">
        <v>145</v>
      </c>
      <c r="B14" s="632" t="s">
        <v>77</v>
      </c>
      <c r="C14" s="633" t="s">
        <v>130</v>
      </c>
      <c r="D14" s="648" t="s">
        <v>129</v>
      </c>
      <c r="E14" s="635" t="s">
        <v>87</v>
      </c>
      <c r="F14" s="647" t="s">
        <v>66</v>
      </c>
      <c r="G14" s="647" t="s">
        <v>66</v>
      </c>
      <c r="H14" s="649">
        <v>45723</v>
      </c>
      <c r="I14" s="636">
        <v>2690</v>
      </c>
      <c r="J14" s="650">
        <v>45723</v>
      </c>
      <c r="K14" s="640">
        <v>104452928362</v>
      </c>
      <c r="L14" s="651">
        <v>2490</v>
      </c>
      <c r="M14" s="650">
        <v>45723</v>
      </c>
      <c r="N14" s="640">
        <v>104452928632</v>
      </c>
      <c r="O14" s="652"/>
      <c r="P14" s="653"/>
      <c r="Q14" s="643"/>
      <c r="R14" s="652"/>
      <c r="S14" s="639"/>
      <c r="T14" s="643"/>
      <c r="U14" s="633"/>
      <c r="V14" s="654"/>
      <c r="W14" s="655"/>
      <c r="X14" s="646"/>
    </row>
    <row r="15" spans="1:24" s="1010" customFormat="1" x14ac:dyDescent="0.3">
      <c r="A15" s="994" t="s">
        <v>202</v>
      </c>
      <c r="B15" s="995" t="s">
        <v>77</v>
      </c>
      <c r="C15" s="996"/>
      <c r="D15" s="997" t="s">
        <v>200</v>
      </c>
      <c r="E15" s="998" t="s">
        <v>201</v>
      </c>
      <c r="F15" s="999" t="s">
        <v>66</v>
      </c>
      <c r="G15" s="999" t="s">
        <v>66</v>
      </c>
      <c r="H15" s="999" t="s">
        <v>66</v>
      </c>
      <c r="I15" s="1000">
        <v>2690</v>
      </c>
      <c r="J15" s="1001">
        <v>45827</v>
      </c>
      <c r="K15" s="1002">
        <v>24310</v>
      </c>
      <c r="L15" s="1000">
        <v>2490</v>
      </c>
      <c r="M15" s="1001">
        <v>45827</v>
      </c>
      <c r="N15" s="1002">
        <v>24310</v>
      </c>
      <c r="O15" s="1003"/>
      <c r="P15" s="1004"/>
      <c r="Q15" s="1005"/>
      <c r="R15" s="1003"/>
      <c r="S15" s="1006"/>
      <c r="T15" s="1005"/>
      <c r="U15" s="996" t="s">
        <v>211</v>
      </c>
      <c r="V15" s="1007">
        <v>0.2</v>
      </c>
      <c r="W15" s="1008">
        <v>3199</v>
      </c>
      <c r="X15" s="1009">
        <v>2559</v>
      </c>
    </row>
    <row r="16" spans="1:24" x14ac:dyDescent="0.3">
      <c r="A16" s="631" t="s">
        <v>210</v>
      </c>
      <c r="B16" s="632" t="s">
        <v>77</v>
      </c>
      <c r="C16" s="633"/>
      <c r="D16" s="648" t="s">
        <v>254</v>
      </c>
      <c r="E16" s="635" t="s">
        <v>201</v>
      </c>
      <c r="F16" s="647" t="s">
        <v>66</v>
      </c>
      <c r="G16" s="647" t="s">
        <v>66</v>
      </c>
      <c r="H16" s="647" t="s">
        <v>66</v>
      </c>
      <c r="I16" s="636">
        <v>2690</v>
      </c>
      <c r="J16" s="650">
        <v>45838</v>
      </c>
      <c r="K16" s="641">
        <v>8.5903861334318096E+16</v>
      </c>
      <c r="L16" s="636">
        <v>2490</v>
      </c>
      <c r="M16" s="650">
        <v>45838</v>
      </c>
      <c r="N16" s="641">
        <v>8.5903861334318096E+16</v>
      </c>
      <c r="O16" s="652">
        <v>5900</v>
      </c>
      <c r="P16" s="653">
        <v>45859</v>
      </c>
      <c r="Q16" s="643">
        <v>8.5902092184320192E+16</v>
      </c>
      <c r="R16" s="652"/>
      <c r="S16" s="639"/>
      <c r="T16" s="643"/>
      <c r="U16" s="633" t="s">
        <v>211</v>
      </c>
      <c r="V16" s="654">
        <v>0.18</v>
      </c>
      <c r="W16" s="655">
        <v>3199.9</v>
      </c>
      <c r="X16" s="646">
        <v>2623</v>
      </c>
    </row>
    <row r="17" spans="1:41" s="668" customFormat="1" ht="27.6" x14ac:dyDescent="0.3">
      <c r="A17" s="656" t="s">
        <v>223</v>
      </c>
      <c r="B17" s="632" t="s">
        <v>77</v>
      </c>
      <c r="C17" s="657"/>
      <c r="D17" s="648" t="s">
        <v>222</v>
      </c>
      <c r="E17" s="635" t="s">
        <v>54</v>
      </c>
      <c r="F17" s="647" t="s">
        <v>66</v>
      </c>
      <c r="G17" s="647" t="s">
        <v>66</v>
      </c>
      <c r="H17" s="647" t="s">
        <v>66</v>
      </c>
      <c r="I17" s="658">
        <v>1500</v>
      </c>
      <c r="J17" s="659">
        <v>45743</v>
      </c>
      <c r="K17" s="660">
        <v>2065526638</v>
      </c>
      <c r="L17" s="658">
        <v>1500</v>
      </c>
      <c r="M17" s="659">
        <v>45846</v>
      </c>
      <c r="N17" s="660">
        <v>18870727</v>
      </c>
      <c r="O17" s="661">
        <v>5900</v>
      </c>
      <c r="P17" s="662">
        <v>45877</v>
      </c>
      <c r="Q17" s="663">
        <v>93322540</v>
      </c>
      <c r="R17" s="661">
        <v>2000</v>
      </c>
      <c r="S17" s="664">
        <v>45884</v>
      </c>
      <c r="T17" s="663">
        <v>67780840</v>
      </c>
      <c r="U17" s="665" t="s">
        <v>211</v>
      </c>
      <c r="V17" s="665"/>
      <c r="W17" s="666">
        <v>3199</v>
      </c>
      <c r="X17" s="667">
        <v>1500</v>
      </c>
    </row>
    <row r="18" spans="1:41" x14ac:dyDescent="0.3">
      <c r="A18" s="631" t="s">
        <v>261</v>
      </c>
      <c r="B18" s="632" t="s">
        <v>77</v>
      </c>
      <c r="C18" s="633" t="s">
        <v>263</v>
      </c>
      <c r="D18" s="1137" t="s">
        <v>260</v>
      </c>
      <c r="E18" s="635" t="s">
        <v>201</v>
      </c>
      <c r="F18" s="647" t="s">
        <v>66</v>
      </c>
      <c r="G18" s="647" t="s">
        <v>66</v>
      </c>
      <c r="H18" s="647" t="s">
        <v>66</v>
      </c>
      <c r="I18" s="1134"/>
      <c r="J18" s="1135"/>
      <c r="K18" s="1136"/>
      <c r="L18" s="636">
        <v>1743</v>
      </c>
      <c r="M18" s="650">
        <v>45861</v>
      </c>
      <c r="N18" s="640">
        <v>59269061</v>
      </c>
      <c r="O18" s="652">
        <v>5900</v>
      </c>
      <c r="P18" s="653">
        <v>45888</v>
      </c>
      <c r="Q18" s="643">
        <v>12415877</v>
      </c>
      <c r="R18" s="652">
        <v>3085</v>
      </c>
      <c r="S18" s="639">
        <v>45888</v>
      </c>
      <c r="T18" s="643">
        <v>12415877</v>
      </c>
      <c r="U18" s="633" t="s">
        <v>258</v>
      </c>
      <c r="V18" s="654"/>
      <c r="W18" s="655"/>
      <c r="X18" s="646">
        <v>2687</v>
      </c>
    </row>
    <row r="19" spans="1:41" x14ac:dyDescent="0.3">
      <c r="A19" s="631" t="s">
        <v>319</v>
      </c>
      <c r="B19" s="632" t="s">
        <v>125</v>
      </c>
      <c r="C19" s="633" t="s">
        <v>320</v>
      </c>
      <c r="D19" s="634" t="s">
        <v>318</v>
      </c>
      <c r="E19" s="635" t="s">
        <v>201</v>
      </c>
      <c r="F19" s="647" t="s">
        <v>66</v>
      </c>
      <c r="G19" s="647" t="s">
        <v>66</v>
      </c>
      <c r="H19" s="649">
        <v>45872</v>
      </c>
      <c r="I19" s="636"/>
      <c r="J19" s="650"/>
      <c r="K19" s="641"/>
      <c r="L19" s="636">
        <v>2499</v>
      </c>
      <c r="M19" s="650">
        <v>45885</v>
      </c>
      <c r="N19" s="641">
        <v>4358446906</v>
      </c>
      <c r="O19" s="652"/>
      <c r="P19" s="653"/>
      <c r="Q19" s="643"/>
      <c r="R19" s="652"/>
      <c r="S19" s="669"/>
      <c r="T19" s="670"/>
      <c r="U19" s="633"/>
      <c r="V19" s="654"/>
      <c r="W19" s="655"/>
      <c r="X19" s="646"/>
    </row>
    <row r="20" spans="1:41" x14ac:dyDescent="0.3">
      <c r="A20" s="631" t="s">
        <v>331</v>
      </c>
      <c r="B20" s="632" t="s">
        <v>77</v>
      </c>
      <c r="C20" s="633" t="s">
        <v>330</v>
      </c>
      <c r="D20" s="648" t="s">
        <v>329</v>
      </c>
      <c r="E20" s="635" t="s">
        <v>201</v>
      </c>
      <c r="F20" s="647" t="s">
        <v>66</v>
      </c>
      <c r="G20" s="647" t="s">
        <v>66</v>
      </c>
      <c r="H20" s="649">
        <v>45877</v>
      </c>
      <c r="I20" s="636">
        <v>1345</v>
      </c>
      <c r="J20" s="650">
        <v>45877</v>
      </c>
      <c r="K20" s="641" t="s">
        <v>72</v>
      </c>
      <c r="L20" s="636">
        <v>1245</v>
      </c>
      <c r="M20" s="650">
        <v>45877</v>
      </c>
      <c r="N20" s="641" t="s">
        <v>431</v>
      </c>
      <c r="O20" s="652">
        <v>3200</v>
      </c>
      <c r="P20" s="653">
        <v>45937</v>
      </c>
      <c r="Q20" s="643">
        <v>50995809</v>
      </c>
      <c r="R20" s="652">
        <v>3208.4</v>
      </c>
      <c r="S20" s="639">
        <v>45880</v>
      </c>
      <c r="T20" s="643">
        <v>927278</v>
      </c>
      <c r="U20" s="633" t="s">
        <v>211</v>
      </c>
      <c r="V20" s="654">
        <v>0.5</v>
      </c>
      <c r="W20" s="655">
        <v>3199</v>
      </c>
      <c r="X20" s="646">
        <v>1559</v>
      </c>
    </row>
    <row r="21" spans="1:41" x14ac:dyDescent="0.3">
      <c r="A21" s="631" t="s">
        <v>399</v>
      </c>
      <c r="B21" s="632" t="s">
        <v>125</v>
      </c>
      <c r="C21" s="633"/>
      <c r="D21" s="648" t="s">
        <v>398</v>
      </c>
      <c r="E21" s="635" t="s">
        <v>201</v>
      </c>
      <c r="F21" s="647" t="s">
        <v>66</v>
      </c>
      <c r="G21" s="647" t="s">
        <v>66</v>
      </c>
      <c r="H21" s="649">
        <v>45896</v>
      </c>
      <c r="I21" s="636">
        <v>2690</v>
      </c>
      <c r="J21" s="650">
        <v>45896</v>
      </c>
      <c r="K21" s="641">
        <v>5301872915</v>
      </c>
      <c r="L21" s="636">
        <v>2490</v>
      </c>
      <c r="M21" s="650">
        <v>45896</v>
      </c>
      <c r="N21" s="641">
        <v>5301872915</v>
      </c>
      <c r="O21" s="652"/>
      <c r="P21" s="653"/>
      <c r="Q21" s="643"/>
      <c r="R21" s="652"/>
      <c r="S21" s="633"/>
      <c r="T21" s="643"/>
      <c r="U21" s="633"/>
      <c r="V21" s="644"/>
      <c r="W21" s="655"/>
      <c r="X21" s="646"/>
    </row>
    <row r="22" spans="1:41" x14ac:dyDescent="0.3">
      <c r="A22" s="631" t="s">
        <v>414</v>
      </c>
      <c r="B22" s="632" t="s">
        <v>125</v>
      </c>
      <c r="C22" s="633"/>
      <c r="D22" s="671" t="s">
        <v>774</v>
      </c>
      <c r="E22" s="635" t="s">
        <v>773</v>
      </c>
      <c r="F22" s="647" t="s">
        <v>66</v>
      </c>
      <c r="G22" s="647" t="s">
        <v>66</v>
      </c>
      <c r="H22" s="672">
        <v>3.875</v>
      </c>
      <c r="I22" s="636">
        <v>1345</v>
      </c>
      <c r="J22" s="650">
        <v>45900</v>
      </c>
      <c r="K22" s="641" t="s">
        <v>72</v>
      </c>
      <c r="L22" s="636">
        <v>1245</v>
      </c>
      <c r="M22" s="650">
        <v>45900</v>
      </c>
      <c r="N22" s="641" t="s">
        <v>72</v>
      </c>
      <c r="O22" s="652"/>
      <c r="P22" s="653"/>
      <c r="Q22" s="643"/>
      <c r="R22" s="652"/>
      <c r="S22" s="639"/>
      <c r="T22" s="643"/>
      <c r="U22" s="673" t="s">
        <v>258</v>
      </c>
      <c r="V22" s="644">
        <v>0.3</v>
      </c>
      <c r="W22" s="655"/>
      <c r="X22" s="646">
        <v>2687</v>
      </c>
    </row>
    <row r="23" spans="1:41" ht="14.4" thickBot="1" x14ac:dyDescent="0.35">
      <c r="A23" s="631"/>
      <c r="B23" s="674"/>
      <c r="C23" s="675"/>
      <c r="D23" s="648"/>
      <c r="E23" s="676"/>
      <c r="F23" s="677"/>
      <c r="G23" s="677"/>
      <c r="H23" s="677"/>
      <c r="I23" s="678"/>
      <c r="J23" s="679"/>
      <c r="K23" s="680"/>
      <c r="L23" s="678"/>
      <c r="M23" s="679"/>
      <c r="N23" s="680"/>
      <c r="O23" s="681"/>
      <c r="P23" s="682"/>
      <c r="Q23" s="683"/>
      <c r="R23" s="681"/>
      <c r="S23" s="684"/>
      <c r="T23" s="683"/>
      <c r="U23" s="675"/>
      <c r="V23" s="685"/>
      <c r="W23" s="686"/>
      <c r="X23" s="687"/>
    </row>
    <row r="24" spans="1:41" ht="14.4" thickBot="1" x14ac:dyDescent="0.35">
      <c r="A24" s="631"/>
      <c r="B24" s="674"/>
      <c r="C24" s="675"/>
      <c r="D24" s="688"/>
      <c r="E24" s="676"/>
      <c r="F24" s="677"/>
      <c r="G24" s="677"/>
      <c r="H24" s="677"/>
      <c r="I24" s="678"/>
      <c r="J24" s="679"/>
      <c r="K24" s="680"/>
      <c r="L24" s="678"/>
      <c r="M24" s="679"/>
      <c r="N24" s="680"/>
      <c r="O24" s="681"/>
      <c r="P24" s="682"/>
      <c r="Q24" s="683"/>
      <c r="R24" s="681"/>
      <c r="S24" s="684"/>
      <c r="T24" s="683"/>
      <c r="U24" s="675"/>
      <c r="V24" s="685"/>
      <c r="W24" s="686"/>
      <c r="X24" s="687"/>
    </row>
    <row r="26" spans="1:41" ht="14.4" thickBot="1" x14ac:dyDescent="0.35"/>
    <row r="27" spans="1:41" ht="14.4" thickBot="1" x14ac:dyDescent="0.35">
      <c r="B27" s="1366" t="s">
        <v>24</v>
      </c>
      <c r="C27" s="1367"/>
      <c r="D27" s="1367"/>
      <c r="E27" s="1367"/>
      <c r="F27" s="1367"/>
      <c r="G27" s="1367"/>
      <c r="H27" s="1367"/>
      <c r="I27" s="1367"/>
      <c r="J27" s="1367"/>
      <c r="K27" s="1367"/>
      <c r="L27" s="1367"/>
      <c r="M27" s="1367"/>
      <c r="N27" s="1367"/>
      <c r="O27" s="1367"/>
      <c r="P27" s="1367"/>
      <c r="Q27" s="1367"/>
      <c r="R27" s="1367"/>
      <c r="S27" s="1367"/>
      <c r="T27" s="1367"/>
      <c r="U27" s="1367"/>
      <c r="V27" s="1367"/>
      <c r="W27" s="1367"/>
      <c r="X27" s="1367"/>
      <c r="Y27" s="1367"/>
      <c r="Z27" s="1367"/>
      <c r="AA27" s="1367"/>
      <c r="AB27" s="1367"/>
      <c r="AC27" s="1367"/>
      <c r="AD27" s="1367"/>
      <c r="AE27" s="1367"/>
      <c r="AF27" s="1367"/>
      <c r="AG27" s="1367"/>
      <c r="AH27" s="1367"/>
      <c r="AI27" s="1367"/>
      <c r="AJ27" s="1367"/>
      <c r="AK27" s="1367"/>
      <c r="AL27" s="1367"/>
      <c r="AM27" s="1367"/>
      <c r="AN27" s="1368"/>
    </row>
    <row r="28" spans="1:41" ht="14.4" thickBot="1" x14ac:dyDescent="0.35">
      <c r="B28" s="171" t="s">
        <v>9</v>
      </c>
      <c r="C28" s="172" t="s">
        <v>10</v>
      </c>
      <c r="D28" s="171" t="s">
        <v>11</v>
      </c>
      <c r="E28" s="1359" t="s">
        <v>25</v>
      </c>
      <c r="F28" s="1360"/>
      <c r="G28" s="1361"/>
      <c r="H28" s="1362" t="s">
        <v>26</v>
      </c>
      <c r="I28" s="1362"/>
      <c r="J28" s="1362"/>
      <c r="K28" s="1359" t="s">
        <v>27</v>
      </c>
      <c r="L28" s="1360"/>
      <c r="M28" s="1361"/>
      <c r="N28" s="1362" t="s">
        <v>28</v>
      </c>
      <c r="O28" s="1362"/>
      <c r="P28" s="1362"/>
      <c r="Q28" s="1359" t="s">
        <v>29</v>
      </c>
      <c r="R28" s="1360"/>
      <c r="S28" s="1361"/>
      <c r="T28" s="1362" t="s">
        <v>30</v>
      </c>
      <c r="U28" s="1362"/>
      <c r="V28" s="1362"/>
      <c r="W28" s="1359" t="s">
        <v>36</v>
      </c>
      <c r="X28" s="1360"/>
      <c r="Y28" s="1361"/>
      <c r="Z28" s="1362" t="s">
        <v>31</v>
      </c>
      <c r="AA28" s="1362"/>
      <c r="AB28" s="1362"/>
      <c r="AC28" s="1359" t="s">
        <v>32</v>
      </c>
      <c r="AD28" s="1360"/>
      <c r="AE28" s="1361"/>
      <c r="AF28" s="1362" t="s">
        <v>33</v>
      </c>
      <c r="AG28" s="1362"/>
      <c r="AH28" s="1362"/>
      <c r="AI28" s="1359" t="s">
        <v>34</v>
      </c>
      <c r="AJ28" s="1360"/>
      <c r="AK28" s="1361"/>
      <c r="AL28" s="1362" t="s">
        <v>35</v>
      </c>
      <c r="AM28" s="1362"/>
      <c r="AN28" s="1369"/>
    </row>
    <row r="29" spans="1:41" ht="14.4" thickBot="1" x14ac:dyDescent="0.35">
      <c r="B29" s="604"/>
      <c r="C29" s="605"/>
      <c r="D29" s="605"/>
      <c r="E29" s="689" t="s">
        <v>37</v>
      </c>
      <c r="F29" s="690" t="s">
        <v>15</v>
      </c>
      <c r="G29" s="691" t="s">
        <v>14</v>
      </c>
      <c r="H29" s="690" t="s">
        <v>37</v>
      </c>
      <c r="I29" s="690" t="s">
        <v>15</v>
      </c>
      <c r="J29" s="690" t="s">
        <v>14</v>
      </c>
      <c r="K29" s="689" t="s">
        <v>37</v>
      </c>
      <c r="L29" s="690" t="s">
        <v>15</v>
      </c>
      <c r="M29" s="691" t="s">
        <v>14</v>
      </c>
      <c r="N29" s="690" t="s">
        <v>37</v>
      </c>
      <c r="O29" s="690" t="s">
        <v>15</v>
      </c>
      <c r="P29" s="690" t="s">
        <v>14</v>
      </c>
      <c r="Q29" s="689" t="s">
        <v>37</v>
      </c>
      <c r="R29" s="690" t="s">
        <v>15</v>
      </c>
      <c r="S29" s="691" t="s">
        <v>14</v>
      </c>
      <c r="T29" s="690" t="s">
        <v>37</v>
      </c>
      <c r="U29" s="690" t="s">
        <v>15</v>
      </c>
      <c r="V29" s="690" t="s">
        <v>14</v>
      </c>
      <c r="W29" s="689" t="s">
        <v>37</v>
      </c>
      <c r="X29" s="690" t="s">
        <v>15</v>
      </c>
      <c r="Y29" s="691" t="s">
        <v>14</v>
      </c>
      <c r="Z29" s="690" t="s">
        <v>37</v>
      </c>
      <c r="AA29" s="690" t="s">
        <v>15</v>
      </c>
      <c r="AB29" s="690" t="s">
        <v>14</v>
      </c>
      <c r="AC29" s="689" t="s">
        <v>37</v>
      </c>
      <c r="AD29" s="690" t="s">
        <v>15</v>
      </c>
      <c r="AE29" s="691" t="s">
        <v>14</v>
      </c>
      <c r="AF29" s="690" t="s">
        <v>37</v>
      </c>
      <c r="AG29" s="690" t="s">
        <v>15</v>
      </c>
      <c r="AH29" s="690" t="s">
        <v>14</v>
      </c>
      <c r="AI29" s="689" t="s">
        <v>37</v>
      </c>
      <c r="AJ29" s="690" t="s">
        <v>15</v>
      </c>
      <c r="AK29" s="691" t="s">
        <v>14</v>
      </c>
      <c r="AL29" s="690" t="s">
        <v>37</v>
      </c>
      <c r="AM29" s="690" t="s">
        <v>15</v>
      </c>
      <c r="AN29" s="691" t="s">
        <v>14</v>
      </c>
    </row>
    <row r="30" spans="1:41" x14ac:dyDescent="0.3">
      <c r="A30" s="631"/>
      <c r="B30" s="632"/>
      <c r="C30" s="692"/>
      <c r="D30" s="1129" t="str">
        <f t="shared" ref="D30:D36" si="0">D8</f>
        <v>GUTIERREZ VEGA JAZMIN ALEJANDRA</v>
      </c>
      <c r="E30" s="347"/>
      <c r="F30" s="348"/>
      <c r="G30" s="349"/>
      <c r="H30" s="64">
        <v>2687</v>
      </c>
      <c r="I30" s="62">
        <v>45903</v>
      </c>
      <c r="J30" s="63">
        <v>43606205</v>
      </c>
      <c r="K30" s="64">
        <v>2687</v>
      </c>
      <c r="L30" s="62">
        <v>45932</v>
      </c>
      <c r="M30" s="63">
        <v>3820081</v>
      </c>
      <c r="N30" s="64">
        <v>2673</v>
      </c>
      <c r="O30" s="62">
        <v>45931</v>
      </c>
      <c r="P30" s="63">
        <v>3820081</v>
      </c>
      <c r="Q30" s="64">
        <v>2673</v>
      </c>
      <c r="R30" s="62">
        <v>45995</v>
      </c>
      <c r="S30" s="63">
        <v>36193672</v>
      </c>
      <c r="T30" s="64">
        <v>2673</v>
      </c>
      <c r="U30" s="62">
        <v>46027</v>
      </c>
      <c r="V30" s="63">
        <v>78923078</v>
      </c>
      <c r="W30" s="369"/>
      <c r="X30" s="348"/>
      <c r="Y30" s="349"/>
      <c r="Z30" s="64">
        <v>2673</v>
      </c>
      <c r="AA30" s="62">
        <v>46057</v>
      </c>
      <c r="AB30" s="63">
        <v>8822285</v>
      </c>
      <c r="AC30" s="64">
        <v>2673</v>
      </c>
      <c r="AD30" s="62">
        <v>46086</v>
      </c>
      <c r="AE30" s="63">
        <v>99922069</v>
      </c>
      <c r="AF30" s="64">
        <v>2677</v>
      </c>
      <c r="AG30" s="65">
        <v>46115</v>
      </c>
      <c r="AH30" s="63">
        <v>79836391</v>
      </c>
      <c r="AI30" s="64">
        <v>2673</v>
      </c>
      <c r="AJ30" s="65">
        <v>46147</v>
      </c>
      <c r="AK30" s="63">
        <v>52361928</v>
      </c>
      <c r="AL30" s="64">
        <v>2673</v>
      </c>
      <c r="AM30" s="65">
        <v>46174</v>
      </c>
      <c r="AN30" s="63">
        <v>51920061</v>
      </c>
      <c r="AO30" s="173" t="s">
        <v>819</v>
      </c>
    </row>
    <row r="31" spans="1:41" x14ac:dyDescent="0.3">
      <c r="A31" s="631"/>
      <c r="B31" s="632"/>
      <c r="C31" s="693"/>
      <c r="D31" s="1129" t="str">
        <f t="shared" si="0"/>
        <v xml:space="preserve">LIAM SAEL RAMIREZ PEREA </v>
      </c>
      <c r="E31" s="66">
        <v>2623</v>
      </c>
      <c r="F31" s="53">
        <v>45874</v>
      </c>
      <c r="G31" s="54">
        <v>8.5902155084321504E+16</v>
      </c>
      <c r="H31" s="52">
        <v>2623</v>
      </c>
      <c r="I31" s="53">
        <v>45905</v>
      </c>
      <c r="J31" s="54">
        <v>8.59041815543248E+16</v>
      </c>
      <c r="K31" s="52">
        <v>2623</v>
      </c>
      <c r="L31" s="53">
        <v>45935</v>
      </c>
      <c r="M31" s="54">
        <v>853216</v>
      </c>
      <c r="N31" s="52">
        <v>2623</v>
      </c>
      <c r="O31" s="53">
        <v>45964</v>
      </c>
      <c r="P31" s="54">
        <v>8.5906925384330704E+16</v>
      </c>
      <c r="Q31" s="52">
        <v>2623</v>
      </c>
      <c r="R31" s="53">
        <v>45993</v>
      </c>
      <c r="S31" s="54">
        <v>8.5901154564333696E+16</v>
      </c>
      <c r="T31" s="52">
        <v>2623</v>
      </c>
      <c r="U31" s="53">
        <v>46025</v>
      </c>
      <c r="V31" s="54">
        <v>579069</v>
      </c>
      <c r="W31" s="52">
        <v>2623</v>
      </c>
      <c r="X31" s="53">
        <v>45999</v>
      </c>
      <c r="Y31" s="54">
        <v>8.5904696894334208E+16</v>
      </c>
      <c r="Z31" s="52">
        <v>2623</v>
      </c>
      <c r="AA31" s="53">
        <v>46057</v>
      </c>
      <c r="AB31" s="55">
        <v>8.5906125894303504E+16</v>
      </c>
      <c r="AC31" s="52">
        <v>2623</v>
      </c>
      <c r="AD31" s="53">
        <v>46085</v>
      </c>
      <c r="AE31" s="55">
        <v>2603954306300</v>
      </c>
      <c r="AF31" s="52">
        <v>2623</v>
      </c>
      <c r="AG31" s="53">
        <v>46115</v>
      </c>
      <c r="AH31" s="54">
        <v>8.5900296654309296E+16</v>
      </c>
      <c r="AI31" s="52">
        <v>2624</v>
      </c>
      <c r="AJ31" s="53">
        <v>46146</v>
      </c>
      <c r="AK31" s="54">
        <v>312464</v>
      </c>
      <c r="AL31" s="52">
        <v>2623</v>
      </c>
      <c r="AM31" s="53">
        <v>46175</v>
      </c>
      <c r="AN31" s="54">
        <v>315361</v>
      </c>
      <c r="AO31" s="173" t="s">
        <v>816</v>
      </c>
    </row>
    <row r="32" spans="1:41" x14ac:dyDescent="0.3">
      <c r="A32" s="631"/>
      <c r="B32" s="632"/>
      <c r="C32" s="693" t="s">
        <v>418</v>
      </c>
      <c r="D32" s="1129" t="str">
        <f t="shared" si="0"/>
        <v xml:space="preserve">ISABELLA GALVEZ DÍAZ </v>
      </c>
      <c r="E32" s="306"/>
      <c r="F32" s="307"/>
      <c r="G32" s="308"/>
      <c r="H32" s="52">
        <v>2879</v>
      </c>
      <c r="I32" s="53">
        <v>45675</v>
      </c>
      <c r="J32" s="54">
        <v>6192027242</v>
      </c>
      <c r="K32" s="52">
        <v>2879</v>
      </c>
      <c r="L32" s="53">
        <v>45931</v>
      </c>
      <c r="M32" s="54">
        <v>1144620</v>
      </c>
      <c r="N32" s="52">
        <v>2879</v>
      </c>
      <c r="O32" s="53">
        <v>45964</v>
      </c>
      <c r="P32" s="54">
        <v>44999439</v>
      </c>
      <c r="Q32" s="52">
        <v>2879</v>
      </c>
      <c r="R32" s="53">
        <v>45992</v>
      </c>
      <c r="S32" s="54">
        <v>86276026</v>
      </c>
      <c r="T32" s="52">
        <v>2879</v>
      </c>
      <c r="U32" s="53">
        <v>46027</v>
      </c>
      <c r="V32" s="54">
        <v>24191315</v>
      </c>
      <c r="W32" s="336"/>
      <c r="X32" s="307"/>
      <c r="Y32" s="308"/>
      <c r="Z32" s="52">
        <v>2879</v>
      </c>
      <c r="AA32" s="53">
        <v>46057</v>
      </c>
      <c r="AB32" s="55">
        <v>73490873</v>
      </c>
      <c r="AC32" s="52">
        <v>2879</v>
      </c>
      <c r="AD32" s="53">
        <v>46082</v>
      </c>
      <c r="AE32" s="55">
        <v>82745502</v>
      </c>
      <c r="AF32" s="52">
        <v>2879</v>
      </c>
      <c r="AG32" s="53">
        <v>46116</v>
      </c>
      <c r="AH32" s="54">
        <v>82180340</v>
      </c>
      <c r="AI32" s="52">
        <v>2879</v>
      </c>
      <c r="AJ32" s="53">
        <v>46147</v>
      </c>
      <c r="AK32" s="54">
        <v>86097863</v>
      </c>
      <c r="AL32" s="52">
        <v>2879</v>
      </c>
      <c r="AM32" s="53">
        <v>46175</v>
      </c>
      <c r="AN32" s="54">
        <v>5788308</v>
      </c>
      <c r="AO32" s="173" t="s">
        <v>816</v>
      </c>
    </row>
    <row r="33" spans="1:42" x14ac:dyDescent="0.3">
      <c r="A33" s="631"/>
      <c r="B33" s="632"/>
      <c r="C33" s="693"/>
      <c r="D33" s="1319" t="str">
        <f t="shared" si="0"/>
        <v>GEORGINA FERNÁNDEZ THEUREL</v>
      </c>
      <c r="E33" s="66">
        <v>2399</v>
      </c>
      <c r="F33" s="53">
        <v>45874</v>
      </c>
      <c r="G33" s="54">
        <v>8.5901284614321696E+16</v>
      </c>
      <c r="H33" s="52">
        <v>2399</v>
      </c>
      <c r="I33" s="53">
        <v>45903</v>
      </c>
      <c r="J33" s="54">
        <v>250370</v>
      </c>
      <c r="K33" s="52">
        <v>2399</v>
      </c>
      <c r="L33" s="53">
        <v>45936</v>
      </c>
      <c r="M33" s="54">
        <v>8.5902761704327904E+16</v>
      </c>
      <c r="N33" s="52">
        <v>2399</v>
      </c>
      <c r="O33" s="53">
        <v>45966</v>
      </c>
      <c r="P33" s="54">
        <v>8.5907127174330896E+16</v>
      </c>
      <c r="Q33" s="52">
        <v>2399</v>
      </c>
      <c r="R33" s="53">
        <v>45999</v>
      </c>
      <c r="S33" s="54">
        <v>8.5902881524334208E+16</v>
      </c>
      <c r="T33" s="52">
        <v>2399</v>
      </c>
      <c r="U33" s="53">
        <v>46029</v>
      </c>
      <c r="V33" s="54">
        <v>8.5902267714300704E+16</v>
      </c>
      <c r="W33" s="336"/>
      <c r="X33" s="307"/>
      <c r="Y33" s="308"/>
      <c r="Z33" s="52">
        <v>2399</v>
      </c>
      <c r="AA33" s="53">
        <v>46057</v>
      </c>
      <c r="AB33" s="55">
        <v>8.5907632534303504E+16</v>
      </c>
      <c r="AC33" s="52">
        <v>2399</v>
      </c>
      <c r="AD33" s="53">
        <v>46105</v>
      </c>
      <c r="AE33" s="55">
        <v>1061928</v>
      </c>
      <c r="AF33" s="52">
        <v>2399</v>
      </c>
      <c r="AG33" s="53">
        <v>46105</v>
      </c>
      <c r="AH33" s="54">
        <v>1061928</v>
      </c>
      <c r="AI33" s="52">
        <v>2399</v>
      </c>
      <c r="AJ33" s="53">
        <v>46148</v>
      </c>
      <c r="AK33" s="54">
        <v>312665</v>
      </c>
      <c r="AL33" s="52"/>
      <c r="AM33" s="53"/>
      <c r="AN33" s="54"/>
    </row>
    <row r="34" spans="1:42" x14ac:dyDescent="0.3">
      <c r="A34" s="631"/>
      <c r="B34" s="694" t="s">
        <v>258</v>
      </c>
      <c r="C34" s="693" t="s">
        <v>227</v>
      </c>
      <c r="D34" s="1129" t="str">
        <f t="shared" si="0"/>
        <v>YOSHIMI MADARA BURELO OLIVARES</v>
      </c>
      <c r="E34" s="306"/>
      <c r="F34" s="307"/>
      <c r="G34" s="308"/>
      <c r="H34" s="52">
        <v>2399</v>
      </c>
      <c r="I34" s="53">
        <v>45901</v>
      </c>
      <c r="J34" s="54" t="s">
        <v>450</v>
      </c>
      <c r="K34" s="52">
        <v>2399</v>
      </c>
      <c r="L34" s="53">
        <v>45935</v>
      </c>
      <c r="M34" s="54">
        <v>656567</v>
      </c>
      <c r="N34" s="52">
        <v>2399</v>
      </c>
      <c r="O34" s="53">
        <v>45966</v>
      </c>
      <c r="P34" s="54">
        <v>24952</v>
      </c>
      <c r="Q34" s="52">
        <v>2399</v>
      </c>
      <c r="R34" s="53">
        <v>45996</v>
      </c>
      <c r="S34" s="54">
        <v>55487960</v>
      </c>
      <c r="T34" s="52">
        <v>2799</v>
      </c>
      <c r="U34" s="53">
        <v>46036</v>
      </c>
      <c r="V34" s="54" t="s">
        <v>483</v>
      </c>
      <c r="W34" s="336"/>
      <c r="X34" s="307"/>
      <c r="Y34" s="308"/>
      <c r="Z34" s="52">
        <v>2399</v>
      </c>
      <c r="AA34" s="53">
        <v>46058</v>
      </c>
      <c r="AB34" s="55">
        <v>305688</v>
      </c>
      <c r="AC34" s="52">
        <v>2399</v>
      </c>
      <c r="AD34" s="53">
        <v>46086</v>
      </c>
      <c r="AE34" s="55">
        <v>87985645</v>
      </c>
      <c r="AF34" s="52">
        <v>2799</v>
      </c>
      <c r="AG34" s="53">
        <v>46124</v>
      </c>
      <c r="AH34" s="54">
        <v>548976213</v>
      </c>
      <c r="AI34" s="395">
        <v>2399</v>
      </c>
      <c r="AJ34" s="396">
        <v>46148</v>
      </c>
      <c r="AK34" s="54" t="s">
        <v>523</v>
      </c>
      <c r="AL34" s="52">
        <v>2399</v>
      </c>
      <c r="AM34" s="53">
        <v>46175</v>
      </c>
      <c r="AN34" s="54" t="s">
        <v>761</v>
      </c>
      <c r="AO34" s="173" t="s">
        <v>819</v>
      </c>
    </row>
    <row r="35" spans="1:42" x14ac:dyDescent="0.3">
      <c r="A35" s="631"/>
      <c r="B35" s="695"/>
      <c r="C35" s="693"/>
      <c r="D35" s="1129" t="str">
        <f t="shared" si="0"/>
        <v>LILIAN RENATA CORTEZ FUENTES</v>
      </c>
      <c r="E35" s="336"/>
      <c r="F35" s="307"/>
      <c r="G35" s="365"/>
      <c r="H35" s="52">
        <v>2879</v>
      </c>
      <c r="I35" s="53">
        <v>45901</v>
      </c>
      <c r="J35" s="54">
        <v>16908756</v>
      </c>
      <c r="K35" s="52">
        <v>2239</v>
      </c>
      <c r="L35" s="53">
        <v>45905</v>
      </c>
      <c r="M35" s="54">
        <v>80059121</v>
      </c>
      <c r="N35" s="52">
        <v>2239</v>
      </c>
      <c r="O35" s="53">
        <v>45967</v>
      </c>
      <c r="P35" s="54">
        <v>38642635</v>
      </c>
      <c r="Q35" s="52">
        <v>2239</v>
      </c>
      <c r="R35" s="53">
        <v>45999</v>
      </c>
      <c r="S35" s="55">
        <v>38646235</v>
      </c>
      <c r="T35" s="52">
        <v>2239</v>
      </c>
      <c r="U35" s="53">
        <v>45999</v>
      </c>
      <c r="V35" s="55" t="s">
        <v>473</v>
      </c>
      <c r="W35" s="52">
        <v>2239</v>
      </c>
      <c r="X35" s="53">
        <v>46000</v>
      </c>
      <c r="Y35" s="54" t="s">
        <v>473</v>
      </c>
      <c r="Z35" s="52">
        <v>2239</v>
      </c>
      <c r="AA35" s="53">
        <v>46057</v>
      </c>
      <c r="AB35" s="55">
        <v>6604664</v>
      </c>
      <c r="AC35" s="52">
        <v>2239</v>
      </c>
      <c r="AD35" s="53">
        <v>46115</v>
      </c>
      <c r="AE35" s="55">
        <v>6604664</v>
      </c>
      <c r="AF35" s="52">
        <v>2239</v>
      </c>
      <c r="AG35" s="53">
        <v>46116</v>
      </c>
      <c r="AH35" s="54">
        <v>6604664</v>
      </c>
      <c r="AI35" s="52">
        <v>2239</v>
      </c>
      <c r="AJ35" s="53">
        <v>46147</v>
      </c>
      <c r="AK35" s="54">
        <v>6604664</v>
      </c>
      <c r="AL35" s="52">
        <v>1839</v>
      </c>
      <c r="AM35" s="53">
        <v>46181</v>
      </c>
      <c r="AN35" s="54">
        <v>906847</v>
      </c>
      <c r="AO35" s="173" t="s">
        <v>819</v>
      </c>
      <c r="AP35" s="173" t="s">
        <v>791</v>
      </c>
    </row>
    <row r="36" spans="1:42" ht="18.600000000000001" hidden="1" customHeight="1" x14ac:dyDescent="0.3">
      <c r="A36" s="631"/>
      <c r="B36" s="632"/>
      <c r="C36" s="693"/>
      <c r="D36" s="1130" t="str">
        <f t="shared" si="0"/>
        <v>EITHAN GARDUZA SCOTT</v>
      </c>
      <c r="E36" s="306"/>
      <c r="F36" s="307"/>
      <c r="G36" s="308"/>
      <c r="H36" s="336"/>
      <c r="I36" s="307"/>
      <c r="J36" s="308"/>
      <c r="K36" s="336"/>
      <c r="L36" s="307"/>
      <c r="M36" s="308"/>
      <c r="N36" s="52"/>
      <c r="O36" s="53"/>
      <c r="P36" s="54"/>
      <c r="Q36" s="52"/>
      <c r="R36" s="53"/>
      <c r="S36" s="54"/>
      <c r="T36" s="363"/>
      <c r="U36" s="364"/>
      <c r="V36" s="407"/>
      <c r="W36" s="363"/>
      <c r="X36" s="364"/>
      <c r="Y36" s="407"/>
      <c r="Z36" s="363"/>
      <c r="AA36" s="364"/>
      <c r="AB36" s="408"/>
      <c r="AC36" s="363"/>
      <c r="AD36" s="364"/>
      <c r="AE36" s="408"/>
      <c r="AF36" s="363"/>
      <c r="AG36" s="364"/>
      <c r="AH36" s="407"/>
      <c r="AI36" s="363"/>
      <c r="AJ36" s="364"/>
      <c r="AK36" s="407"/>
      <c r="AL36" s="52"/>
      <c r="AM36" s="53"/>
      <c r="AN36" s="54"/>
    </row>
    <row r="37" spans="1:42" s="1017" customFormat="1" x14ac:dyDescent="0.3">
      <c r="A37" s="1011"/>
      <c r="B37" s="1012"/>
      <c r="C37" s="1013"/>
      <c r="D37" s="1129" t="str">
        <f t="shared" ref="D37:D42" si="1">D15</f>
        <v xml:space="preserve">LIAM ZAMORANO HERNANDEZ </v>
      </c>
      <c r="E37" s="1014">
        <v>2559</v>
      </c>
      <c r="F37" s="1015">
        <v>45874</v>
      </c>
      <c r="G37" s="418">
        <v>84695</v>
      </c>
      <c r="H37" s="1014">
        <v>2559</v>
      </c>
      <c r="I37" s="1015">
        <v>45905</v>
      </c>
      <c r="J37" s="418">
        <v>93487</v>
      </c>
      <c r="K37" s="1014">
        <v>2559</v>
      </c>
      <c r="L37" s="1015">
        <v>45933</v>
      </c>
      <c r="M37" s="418">
        <v>332114</v>
      </c>
      <c r="N37" s="1014">
        <v>2559</v>
      </c>
      <c r="O37" s="1015">
        <v>45966</v>
      </c>
      <c r="P37" s="418">
        <v>10876</v>
      </c>
      <c r="Q37" s="1014">
        <v>2239</v>
      </c>
      <c r="R37" s="1015">
        <v>45999</v>
      </c>
      <c r="S37" s="418">
        <v>64705</v>
      </c>
      <c r="T37" s="1014">
        <v>2559</v>
      </c>
      <c r="U37" s="1015">
        <v>5</v>
      </c>
      <c r="V37" s="418">
        <v>9463952</v>
      </c>
      <c r="W37" s="1014">
        <v>2239</v>
      </c>
      <c r="X37" s="1015">
        <v>45999</v>
      </c>
      <c r="Y37" s="418">
        <v>64705</v>
      </c>
      <c r="Z37" s="1014">
        <v>2639</v>
      </c>
      <c r="AA37" s="1015">
        <v>46062</v>
      </c>
      <c r="AB37" s="1016">
        <v>62670</v>
      </c>
      <c r="AC37" s="1014">
        <v>2639</v>
      </c>
      <c r="AD37" s="1015">
        <v>46086</v>
      </c>
      <c r="AE37" s="1016">
        <v>879512</v>
      </c>
      <c r="AF37" s="1014">
        <v>2639</v>
      </c>
      <c r="AG37" s="1015">
        <v>46117</v>
      </c>
      <c r="AH37" s="418">
        <v>61069</v>
      </c>
      <c r="AI37" s="1014">
        <v>2639</v>
      </c>
      <c r="AJ37" s="1015">
        <v>46146</v>
      </c>
      <c r="AK37" s="418" t="s">
        <v>521</v>
      </c>
      <c r="AL37" s="1014">
        <v>2559</v>
      </c>
      <c r="AM37" s="1015">
        <v>46181</v>
      </c>
      <c r="AN37" s="418" t="s">
        <v>795</v>
      </c>
      <c r="AO37" s="1017" t="s">
        <v>819</v>
      </c>
    </row>
    <row r="38" spans="1:42" s="668" customFormat="1" x14ac:dyDescent="0.3">
      <c r="A38" s="656"/>
      <c r="B38" s="696"/>
      <c r="C38" s="697"/>
      <c r="D38" s="1129" t="str">
        <f t="shared" si="1"/>
        <v xml:space="preserve">REGINA PEREYRA TOLEDO </v>
      </c>
      <c r="E38" s="395">
        <v>2623</v>
      </c>
      <c r="F38" s="396">
        <v>45781</v>
      </c>
      <c r="G38" s="421">
        <v>348350</v>
      </c>
      <c r="H38" s="395">
        <v>2623</v>
      </c>
      <c r="I38" s="396">
        <v>45902</v>
      </c>
      <c r="J38" s="421">
        <v>8.5901634674324496E+16</v>
      </c>
      <c r="K38" s="395">
        <v>2623</v>
      </c>
      <c r="L38" s="396">
        <v>45932</v>
      </c>
      <c r="M38" s="421">
        <v>8590082321432550</v>
      </c>
      <c r="N38" s="395">
        <v>2623</v>
      </c>
      <c r="O38" s="396">
        <v>45964</v>
      </c>
      <c r="P38" s="421">
        <v>8.5906491374330704E+16</v>
      </c>
      <c r="Q38" s="395">
        <v>2623</v>
      </c>
      <c r="R38" s="396">
        <v>45992</v>
      </c>
      <c r="S38" s="421">
        <v>8.5905110984333504E+16</v>
      </c>
      <c r="T38" s="395">
        <v>2623</v>
      </c>
      <c r="U38" s="396">
        <v>46027</v>
      </c>
      <c r="V38" s="397">
        <v>8.5904815374300496E+16</v>
      </c>
      <c r="W38" s="395">
        <v>2623</v>
      </c>
      <c r="X38" s="396">
        <v>45992</v>
      </c>
      <c r="Y38" s="421">
        <v>8.5905110984333504E+16</v>
      </c>
      <c r="Z38" s="395">
        <v>2623</v>
      </c>
      <c r="AA38" s="396">
        <v>46058</v>
      </c>
      <c r="AB38" s="397">
        <v>8.59014104043036E+16</v>
      </c>
      <c r="AC38" s="395">
        <v>2623</v>
      </c>
      <c r="AD38" s="396">
        <v>46085</v>
      </c>
      <c r="AE38" s="397">
        <v>771274306369</v>
      </c>
      <c r="AF38" s="395">
        <v>2623</v>
      </c>
      <c r="AG38" s="396">
        <v>46126</v>
      </c>
      <c r="AH38" s="421">
        <v>140426</v>
      </c>
      <c r="AI38" s="395">
        <v>2623</v>
      </c>
      <c r="AJ38" s="396">
        <v>46156</v>
      </c>
      <c r="AK38" s="421">
        <v>414313463</v>
      </c>
      <c r="AL38" s="395">
        <v>2623</v>
      </c>
      <c r="AM38" s="396">
        <v>46174</v>
      </c>
      <c r="AN38" s="421">
        <v>315263</v>
      </c>
      <c r="AO38" s="668" t="s">
        <v>816</v>
      </c>
    </row>
    <row r="39" spans="1:42" ht="15" customHeight="1" x14ac:dyDescent="0.3">
      <c r="A39" s="631"/>
      <c r="B39" s="632"/>
      <c r="C39" s="693"/>
      <c r="D39" s="1129" t="str">
        <f t="shared" si="1"/>
        <v>ABRAHAM DE JESUS MONTERO GARCIA</v>
      </c>
      <c r="E39" s="52">
        <v>1500</v>
      </c>
      <c r="F39" s="53">
        <v>45901</v>
      </c>
      <c r="G39" s="251">
        <v>43551496</v>
      </c>
      <c r="H39" s="52">
        <v>1500</v>
      </c>
      <c r="I39" s="53">
        <v>45905</v>
      </c>
      <c r="J39" s="54">
        <v>50897645</v>
      </c>
      <c r="K39" s="52">
        <v>1900</v>
      </c>
      <c r="L39" s="53">
        <v>45951</v>
      </c>
      <c r="M39" s="54">
        <v>59097254</v>
      </c>
      <c r="N39" s="52">
        <v>1500</v>
      </c>
      <c r="O39" s="53">
        <v>45952</v>
      </c>
      <c r="P39" s="54">
        <v>59097254</v>
      </c>
      <c r="Q39" s="52">
        <v>1500</v>
      </c>
      <c r="R39" s="53">
        <v>46005</v>
      </c>
      <c r="S39" s="54">
        <v>20189863</v>
      </c>
      <c r="T39" s="52">
        <v>1500</v>
      </c>
      <c r="U39" s="53">
        <v>46027</v>
      </c>
      <c r="V39" s="55">
        <v>46143963</v>
      </c>
      <c r="W39" s="52">
        <v>1500</v>
      </c>
      <c r="X39" s="53">
        <v>45999</v>
      </c>
      <c r="Y39" s="54">
        <v>536590</v>
      </c>
      <c r="Z39" s="52">
        <v>1500</v>
      </c>
      <c r="AA39" s="53">
        <v>46053</v>
      </c>
      <c r="AB39" s="55">
        <v>5434853</v>
      </c>
      <c r="AC39" s="52">
        <v>1500</v>
      </c>
      <c r="AD39" s="53">
        <v>46079</v>
      </c>
      <c r="AE39" s="55">
        <v>97852712</v>
      </c>
      <c r="AF39" s="52">
        <v>1500</v>
      </c>
      <c r="AG39" s="53">
        <v>46108</v>
      </c>
      <c r="AH39" s="54">
        <v>74182179</v>
      </c>
      <c r="AI39" s="52">
        <v>1500</v>
      </c>
      <c r="AJ39" s="53">
        <v>46141</v>
      </c>
      <c r="AK39" s="54">
        <v>32477095</v>
      </c>
      <c r="AL39" s="52">
        <v>1500</v>
      </c>
      <c r="AM39" s="53">
        <v>46174</v>
      </c>
      <c r="AN39" s="54">
        <v>42349957</v>
      </c>
      <c r="AO39" s="173" t="s">
        <v>816</v>
      </c>
    </row>
    <row r="40" spans="1:42" x14ac:dyDescent="0.3">
      <c r="A40" s="631"/>
      <c r="B40" s="632"/>
      <c r="C40" s="698"/>
      <c r="D40" s="1129" t="str">
        <f t="shared" si="1"/>
        <v>IVANNA GARCIA RUIZ</v>
      </c>
      <c r="E40" s="336"/>
      <c r="F40" s="307"/>
      <c r="G40" s="356"/>
      <c r="H40" s="52">
        <v>2687</v>
      </c>
      <c r="I40" s="53">
        <v>45905</v>
      </c>
      <c r="J40" s="54" t="s">
        <v>72</v>
      </c>
      <c r="K40" s="52">
        <v>2687</v>
      </c>
      <c r="L40" s="53">
        <v>45935</v>
      </c>
      <c r="M40" s="54">
        <v>44449845</v>
      </c>
      <c r="N40" s="52">
        <v>2687</v>
      </c>
      <c r="O40" s="53">
        <v>45966</v>
      </c>
      <c r="P40" s="54">
        <v>37240654</v>
      </c>
      <c r="Q40" s="52">
        <v>2687</v>
      </c>
      <c r="R40" s="53">
        <v>45993</v>
      </c>
      <c r="S40" s="54">
        <v>25782987</v>
      </c>
      <c r="T40" s="52">
        <v>2687</v>
      </c>
      <c r="U40" s="53">
        <v>46027</v>
      </c>
      <c r="V40" s="55">
        <v>36804787</v>
      </c>
      <c r="W40" s="336"/>
      <c r="X40" s="307"/>
      <c r="Y40" s="308"/>
      <c r="Z40" s="52">
        <v>2687</v>
      </c>
      <c r="AA40" s="53">
        <v>46056</v>
      </c>
      <c r="AB40" s="55">
        <v>66317447</v>
      </c>
      <c r="AC40" s="52">
        <v>2687</v>
      </c>
      <c r="AD40" s="53">
        <v>46083</v>
      </c>
      <c r="AE40" s="55">
        <v>3915390</v>
      </c>
      <c r="AF40" s="52">
        <v>2687</v>
      </c>
      <c r="AG40" s="53">
        <v>46108</v>
      </c>
      <c r="AH40" s="54">
        <v>88341480</v>
      </c>
      <c r="AI40" s="52">
        <v>2687</v>
      </c>
      <c r="AJ40" s="53">
        <v>46139</v>
      </c>
      <c r="AK40" s="54">
        <v>84625200</v>
      </c>
      <c r="AL40" s="52">
        <v>2687</v>
      </c>
      <c r="AM40" s="53">
        <v>46168</v>
      </c>
      <c r="AN40" s="54">
        <v>49090922</v>
      </c>
      <c r="AO40" s="173" t="s">
        <v>816</v>
      </c>
    </row>
    <row r="41" spans="1:42" x14ac:dyDescent="0.3">
      <c r="A41" s="631"/>
      <c r="B41" s="632"/>
      <c r="C41" s="693"/>
      <c r="D41" s="1131" t="str">
        <f t="shared" si="1"/>
        <v>MATIAS SAUL RIVAS GRAJEDA</v>
      </c>
      <c r="E41" s="336"/>
      <c r="F41" s="307"/>
      <c r="G41" s="356"/>
      <c r="H41" s="52">
        <v>2686</v>
      </c>
      <c r="I41" s="53">
        <v>45877</v>
      </c>
      <c r="J41" s="54">
        <v>86337846</v>
      </c>
      <c r="K41" s="52">
        <v>2686</v>
      </c>
      <c r="L41" s="53">
        <v>45936</v>
      </c>
      <c r="M41" s="54">
        <v>67398754</v>
      </c>
      <c r="N41" s="52">
        <v>2686</v>
      </c>
      <c r="O41" s="53">
        <v>45967</v>
      </c>
      <c r="P41" s="54">
        <v>1410671778</v>
      </c>
      <c r="Q41" s="52">
        <v>2686</v>
      </c>
      <c r="R41" s="53">
        <v>45997</v>
      </c>
      <c r="S41" s="54">
        <v>48526973</v>
      </c>
      <c r="T41" s="52">
        <v>2686</v>
      </c>
      <c r="U41" s="53">
        <v>46028</v>
      </c>
      <c r="V41" s="55">
        <v>21536479</v>
      </c>
      <c r="W41" s="336"/>
      <c r="X41" s="307"/>
      <c r="Y41" s="308"/>
      <c r="Z41" s="52">
        <v>2686</v>
      </c>
      <c r="AA41" s="53">
        <v>46063</v>
      </c>
      <c r="AB41" s="55">
        <v>67398754</v>
      </c>
      <c r="AC41" s="52">
        <v>2686</v>
      </c>
      <c r="AD41" s="53">
        <v>46088</v>
      </c>
      <c r="AE41" s="55">
        <v>58936336</v>
      </c>
      <c r="AF41" s="52">
        <v>2687</v>
      </c>
      <c r="AG41" s="53">
        <v>46156</v>
      </c>
      <c r="AH41" s="418">
        <v>58639034</v>
      </c>
      <c r="AI41" s="52">
        <v>2686</v>
      </c>
      <c r="AJ41" s="53">
        <v>46147</v>
      </c>
      <c r="AK41" s="54">
        <v>67398754</v>
      </c>
      <c r="AL41" s="52">
        <v>2686</v>
      </c>
      <c r="AM41" s="53">
        <v>46177</v>
      </c>
      <c r="AN41" s="54">
        <v>91470328</v>
      </c>
      <c r="AO41" s="173" t="s">
        <v>816</v>
      </c>
    </row>
    <row r="42" spans="1:42" x14ac:dyDescent="0.3">
      <c r="A42" s="631"/>
      <c r="B42" s="632"/>
      <c r="C42" s="693"/>
      <c r="D42" s="1129" t="str">
        <f t="shared" si="1"/>
        <v>AKANE MORALES ROMAN</v>
      </c>
      <c r="E42" s="336"/>
      <c r="F42" s="307"/>
      <c r="G42" s="308"/>
      <c r="H42" s="52">
        <v>1599</v>
      </c>
      <c r="I42" s="53">
        <v>45905</v>
      </c>
      <c r="J42" s="54">
        <v>38846348</v>
      </c>
      <c r="K42" s="52">
        <v>1600</v>
      </c>
      <c r="L42" s="53">
        <v>45937</v>
      </c>
      <c r="M42" s="54">
        <v>50995809</v>
      </c>
      <c r="N42" s="52">
        <v>1599</v>
      </c>
      <c r="O42" s="53">
        <v>45962</v>
      </c>
      <c r="P42" s="54">
        <v>3415019</v>
      </c>
      <c r="Q42" s="52">
        <v>1599</v>
      </c>
      <c r="R42" s="53">
        <v>45996</v>
      </c>
      <c r="S42" s="54" t="s">
        <v>474</v>
      </c>
      <c r="T42" s="52">
        <v>1599</v>
      </c>
      <c r="U42" s="53">
        <v>46361</v>
      </c>
      <c r="V42" s="54" t="s">
        <v>474</v>
      </c>
      <c r="W42" s="336"/>
      <c r="X42" s="307"/>
      <c r="Y42" s="365"/>
      <c r="Z42" s="52">
        <v>1559</v>
      </c>
      <c r="AA42" s="53">
        <v>46058</v>
      </c>
      <c r="AB42" s="54" t="s">
        <v>474</v>
      </c>
      <c r="AC42" s="52">
        <v>1559</v>
      </c>
      <c r="AD42" s="53">
        <v>46086</v>
      </c>
      <c r="AE42" s="54" t="s">
        <v>474</v>
      </c>
      <c r="AF42" s="52">
        <v>1559</v>
      </c>
      <c r="AG42" s="53">
        <v>46118</v>
      </c>
      <c r="AH42" s="54">
        <v>26603543</v>
      </c>
      <c r="AI42" s="52">
        <v>1559</v>
      </c>
      <c r="AJ42" s="53">
        <v>46147</v>
      </c>
      <c r="AK42" s="54">
        <v>49458601</v>
      </c>
      <c r="AL42" s="52">
        <v>1599</v>
      </c>
      <c r="AM42" s="53">
        <v>46174</v>
      </c>
      <c r="AN42" s="54" t="s">
        <v>748</v>
      </c>
      <c r="AO42" s="173" t="s">
        <v>819</v>
      </c>
    </row>
    <row r="43" spans="1:42" ht="16.2" customHeight="1" x14ac:dyDescent="0.3">
      <c r="A43" s="631"/>
      <c r="B43" s="632"/>
      <c r="C43" s="693"/>
      <c r="D43" s="1319" t="s">
        <v>398</v>
      </c>
      <c r="E43" s="306"/>
      <c r="F43" s="307"/>
      <c r="G43" s="308"/>
      <c r="H43" s="52">
        <v>2879</v>
      </c>
      <c r="I43" s="53">
        <v>45905</v>
      </c>
      <c r="J43" s="54">
        <v>89966780</v>
      </c>
      <c r="K43" s="52">
        <v>3147</v>
      </c>
      <c r="L43" s="53">
        <v>45934</v>
      </c>
      <c r="M43" s="54">
        <v>24876531</v>
      </c>
      <c r="N43" s="52">
        <v>3147</v>
      </c>
      <c r="O43" s="53">
        <v>45967</v>
      </c>
      <c r="P43" s="54">
        <v>50679516</v>
      </c>
      <c r="Q43" s="52">
        <v>3147</v>
      </c>
      <c r="R43" s="53">
        <v>46361</v>
      </c>
      <c r="S43" s="54">
        <v>71292800</v>
      </c>
      <c r="T43" s="52">
        <v>3147</v>
      </c>
      <c r="U43" s="53">
        <v>46058</v>
      </c>
      <c r="V43" s="55">
        <v>83006103</v>
      </c>
      <c r="W43" s="336"/>
      <c r="X43" s="307"/>
      <c r="Y43" s="308"/>
      <c r="Z43" s="52">
        <v>3147</v>
      </c>
      <c r="AA43" s="53">
        <v>46177</v>
      </c>
      <c r="AB43" s="54">
        <v>44804264</v>
      </c>
      <c r="AC43" s="52">
        <v>3147</v>
      </c>
      <c r="AD43" s="53">
        <v>46086</v>
      </c>
      <c r="AE43" s="54">
        <v>465</v>
      </c>
      <c r="AF43" s="52">
        <v>3547</v>
      </c>
      <c r="AG43" s="53">
        <v>46181</v>
      </c>
      <c r="AH43" s="418">
        <v>86330335</v>
      </c>
      <c r="AI43" s="52">
        <v>3147</v>
      </c>
      <c r="AJ43" s="53">
        <v>46147</v>
      </c>
      <c r="AK43" s="54">
        <v>44604939</v>
      </c>
      <c r="AL43" s="52"/>
      <c r="AM43" s="53"/>
      <c r="AN43" s="1018" t="s">
        <v>800</v>
      </c>
    </row>
    <row r="44" spans="1:42" x14ac:dyDescent="0.3">
      <c r="A44" s="631"/>
      <c r="B44" s="694"/>
      <c r="C44" s="693"/>
      <c r="D44" s="1320" t="s">
        <v>774</v>
      </c>
      <c r="E44" s="52"/>
      <c r="F44" s="53"/>
      <c r="G44" s="55"/>
      <c r="H44" s="52">
        <v>2686</v>
      </c>
      <c r="I44" s="53">
        <v>45934</v>
      </c>
      <c r="J44" s="55">
        <v>48902654</v>
      </c>
      <c r="K44" s="52">
        <v>2686</v>
      </c>
      <c r="L44" s="53">
        <v>45944</v>
      </c>
      <c r="M44" s="251" t="s">
        <v>452</v>
      </c>
      <c r="N44" s="52">
        <v>2686</v>
      </c>
      <c r="O44" s="53">
        <v>45966</v>
      </c>
      <c r="P44" s="55">
        <v>974643</v>
      </c>
      <c r="Q44" s="52">
        <v>2686</v>
      </c>
      <c r="R44" s="53">
        <v>45995</v>
      </c>
      <c r="S44" s="55" t="s">
        <v>475</v>
      </c>
      <c r="T44" s="52">
        <v>2686</v>
      </c>
      <c r="U44" s="53">
        <v>46027</v>
      </c>
      <c r="V44" s="55" t="s">
        <v>440</v>
      </c>
      <c r="W44" s="52"/>
      <c r="X44" s="53"/>
      <c r="Y44" s="54"/>
      <c r="Z44" s="52">
        <v>2239</v>
      </c>
      <c r="AA44" s="53">
        <v>46054</v>
      </c>
      <c r="AB44" s="55" t="s">
        <v>502</v>
      </c>
      <c r="AC44" s="52">
        <v>2239</v>
      </c>
      <c r="AD44" s="53">
        <v>46086</v>
      </c>
      <c r="AE44" s="55" t="s">
        <v>502</v>
      </c>
      <c r="AF44" s="52">
        <v>2839</v>
      </c>
      <c r="AG44" s="53">
        <v>46129</v>
      </c>
      <c r="AH44" s="54">
        <v>573084</v>
      </c>
      <c r="AI44" s="52">
        <v>2239</v>
      </c>
      <c r="AJ44" s="53">
        <v>46150</v>
      </c>
      <c r="AK44" s="54" t="s">
        <v>656</v>
      </c>
      <c r="AL44" s="52">
        <v>2239</v>
      </c>
      <c r="AM44" s="53">
        <v>46188</v>
      </c>
      <c r="AN44" s="54" t="s">
        <v>813</v>
      </c>
      <c r="AO44" s="173" t="s">
        <v>819</v>
      </c>
    </row>
    <row r="45" spans="1:42" x14ac:dyDescent="0.3">
      <c r="A45" s="631"/>
      <c r="B45" s="695"/>
      <c r="C45" s="693" t="s">
        <v>801</v>
      </c>
      <c r="D45" s="1129" t="s">
        <v>490</v>
      </c>
      <c r="E45" s="306"/>
      <c r="F45" s="307"/>
      <c r="G45" s="308"/>
      <c r="H45" s="336"/>
      <c r="I45" s="307"/>
      <c r="J45" s="337"/>
      <c r="K45" s="336"/>
      <c r="L45" s="307"/>
      <c r="M45" s="308"/>
      <c r="N45" s="336"/>
      <c r="O45" s="307"/>
      <c r="P45" s="308"/>
      <c r="Q45" s="336"/>
      <c r="R45" s="307"/>
      <c r="S45" s="356"/>
      <c r="T45" s="52">
        <v>2559</v>
      </c>
      <c r="U45" s="53">
        <v>46040</v>
      </c>
      <c r="V45" s="55">
        <v>54621387</v>
      </c>
      <c r="W45" s="336"/>
      <c r="X45" s="307"/>
      <c r="Y45" s="308"/>
      <c r="Z45" s="52">
        <v>2559</v>
      </c>
      <c r="AA45" s="53">
        <v>46058</v>
      </c>
      <c r="AB45" s="55">
        <v>39434</v>
      </c>
      <c r="AC45" s="52">
        <v>2559</v>
      </c>
      <c r="AD45" s="53">
        <v>46086</v>
      </c>
      <c r="AE45" s="55">
        <v>25489671</v>
      </c>
      <c r="AF45" s="52">
        <v>2559</v>
      </c>
      <c r="AG45" s="53">
        <v>46115</v>
      </c>
      <c r="AH45" s="54" t="s">
        <v>507</v>
      </c>
      <c r="AI45" s="395">
        <f>2559+400</f>
        <v>2959</v>
      </c>
      <c r="AJ45" s="396">
        <v>46153</v>
      </c>
      <c r="AK45" s="54">
        <v>110526</v>
      </c>
      <c r="AL45" s="52">
        <v>2959</v>
      </c>
      <c r="AM45" s="53">
        <v>46199</v>
      </c>
      <c r="AN45" s="54">
        <v>54758</v>
      </c>
      <c r="AO45" s="173" t="s">
        <v>819</v>
      </c>
    </row>
    <row r="46" spans="1:42" ht="14.4" thickBot="1" x14ac:dyDescent="0.35">
      <c r="A46" s="631"/>
      <c r="B46" s="699"/>
      <c r="C46" s="693"/>
      <c r="D46" s="648"/>
      <c r="E46" s="415"/>
      <c r="F46" s="53"/>
      <c r="G46" s="416"/>
      <c r="H46" s="415"/>
      <c r="I46" s="53"/>
      <c r="J46" s="417"/>
      <c r="K46" s="415"/>
      <c r="L46" s="53"/>
      <c r="M46" s="417"/>
      <c r="N46" s="415"/>
      <c r="O46" s="53"/>
      <c r="P46" s="417"/>
      <c r="Q46" s="415"/>
      <c r="R46" s="53"/>
      <c r="S46" s="416"/>
      <c r="T46" s="415"/>
      <c r="U46" s="53"/>
      <c r="V46" s="417"/>
      <c r="W46" s="415"/>
      <c r="X46" s="53"/>
      <c r="Y46" s="417"/>
      <c r="Z46" s="415"/>
      <c r="AA46" s="53"/>
      <c r="AB46" s="416"/>
      <c r="AC46" s="415"/>
      <c r="AD46" s="53"/>
      <c r="AE46" s="416"/>
      <c r="AF46" s="415"/>
      <c r="AG46" s="53"/>
      <c r="AH46" s="416"/>
      <c r="AI46" s="415"/>
      <c r="AJ46" s="53"/>
      <c r="AK46" s="417"/>
      <c r="AL46" s="415"/>
      <c r="AM46" s="53"/>
      <c r="AN46" s="417"/>
    </row>
    <row r="47" spans="1:42" ht="14.4" thickBot="1" x14ac:dyDescent="0.35">
      <c r="A47" s="631"/>
      <c r="B47" s="699"/>
      <c r="C47" s="693"/>
      <c r="D47" s="555"/>
      <c r="E47" s="415"/>
      <c r="F47" s="53"/>
      <c r="G47" s="416"/>
      <c r="H47" s="415"/>
      <c r="I47" s="53"/>
      <c r="J47" s="417"/>
      <c r="K47" s="415"/>
      <c r="L47" s="53"/>
      <c r="M47" s="417"/>
      <c r="N47" s="415"/>
      <c r="O47" s="53"/>
      <c r="P47" s="417"/>
      <c r="Q47" s="415"/>
      <c r="R47" s="53"/>
      <c r="S47" s="416"/>
      <c r="T47" s="415"/>
      <c r="U47" s="53"/>
      <c r="V47" s="417"/>
      <c r="W47" s="415"/>
      <c r="X47" s="53"/>
      <c r="Y47" s="417"/>
      <c r="Z47" s="415"/>
      <c r="AA47" s="53"/>
      <c r="AB47" s="416"/>
      <c r="AC47" s="415"/>
      <c r="AD47" s="53"/>
      <c r="AE47" s="416"/>
      <c r="AF47" s="415"/>
      <c r="AG47" s="53"/>
      <c r="AH47" s="416"/>
      <c r="AI47" s="415"/>
      <c r="AJ47" s="53"/>
      <c r="AK47" s="417"/>
      <c r="AL47" s="415"/>
      <c r="AM47" s="53"/>
      <c r="AN47" s="417"/>
    </row>
    <row r="48" spans="1:42" ht="14.4" thickBot="1" x14ac:dyDescent="0.35">
      <c r="A48" s="631"/>
      <c r="B48" s="699"/>
      <c r="C48" s="693"/>
      <c r="E48" s="415"/>
      <c r="F48" s="53"/>
      <c r="G48" s="416"/>
      <c r="H48" s="415"/>
      <c r="I48" s="53"/>
      <c r="J48" s="417"/>
      <c r="K48" s="415"/>
      <c r="L48" s="53"/>
      <c r="M48" s="417"/>
      <c r="N48" s="415"/>
      <c r="O48" s="53"/>
      <c r="P48" s="417"/>
      <c r="Q48" s="415"/>
      <c r="R48" s="53"/>
      <c r="S48" s="416"/>
      <c r="T48" s="415"/>
      <c r="U48" s="53"/>
      <c r="V48" s="417"/>
      <c r="W48" s="415"/>
      <c r="X48" s="53"/>
      <c r="Y48" s="417"/>
      <c r="Z48" s="415"/>
      <c r="AA48" s="53"/>
      <c r="AB48" s="416"/>
      <c r="AC48" s="415"/>
      <c r="AD48" s="53"/>
      <c r="AE48" s="416"/>
      <c r="AF48" s="415"/>
      <c r="AG48" s="53"/>
      <c r="AH48" s="416"/>
      <c r="AI48" s="415"/>
      <c r="AJ48" s="53"/>
      <c r="AK48" s="417"/>
      <c r="AL48" s="415"/>
      <c r="AM48" s="53"/>
      <c r="AN48" s="417"/>
    </row>
    <row r="49" spans="1:40" ht="14.4" thickBot="1" x14ac:dyDescent="0.35">
      <c r="A49" s="631"/>
      <c r="B49" s="699"/>
      <c r="C49" s="693"/>
      <c r="D49" s="671"/>
      <c r="E49" s="415"/>
      <c r="F49" s="53"/>
      <c r="G49" s="416"/>
      <c r="H49" s="415"/>
      <c r="I49" s="53"/>
      <c r="J49" s="417"/>
      <c r="K49" s="415"/>
      <c r="L49" s="53"/>
      <c r="M49" s="417"/>
      <c r="N49" s="415"/>
      <c r="O49" s="53"/>
      <c r="P49" s="417"/>
      <c r="Q49" s="415"/>
      <c r="R49" s="53"/>
      <c r="S49" s="416"/>
      <c r="T49" s="415"/>
      <c r="U49" s="53"/>
      <c r="V49" s="417"/>
      <c r="W49" s="415"/>
      <c r="X49" s="53"/>
      <c r="Y49" s="417"/>
      <c r="Z49" s="415"/>
      <c r="AA49" s="53"/>
      <c r="AB49" s="416"/>
      <c r="AC49" s="415"/>
      <c r="AD49" s="53"/>
      <c r="AE49" s="416"/>
      <c r="AF49" s="415"/>
      <c r="AG49" s="53"/>
      <c r="AH49" s="416"/>
      <c r="AI49" s="415"/>
      <c r="AJ49" s="53"/>
      <c r="AK49" s="417"/>
      <c r="AL49" s="415"/>
      <c r="AM49" s="53"/>
      <c r="AN49" s="417"/>
    </row>
    <row r="52" spans="1:40" x14ac:dyDescent="0.3">
      <c r="N52" s="173">
        <v>380</v>
      </c>
    </row>
    <row r="53" spans="1:40" x14ac:dyDescent="0.3">
      <c r="N53" s="173">
        <v>370</v>
      </c>
    </row>
    <row r="54" spans="1:40" x14ac:dyDescent="0.3">
      <c r="M54" s="173">
        <v>2490</v>
      </c>
      <c r="N54" s="173">
        <f>M54/2</f>
        <v>1245</v>
      </c>
    </row>
    <row r="55" spans="1:40" x14ac:dyDescent="0.3">
      <c r="M55" s="173">
        <v>2690</v>
      </c>
      <c r="N55" s="173">
        <f>M55/2</f>
        <v>1345</v>
      </c>
    </row>
    <row r="56" spans="1:40" x14ac:dyDescent="0.3">
      <c r="N56" s="173">
        <v>2559</v>
      </c>
    </row>
    <row r="57" spans="1:40" x14ac:dyDescent="0.3">
      <c r="N57" s="700">
        <f>SUMPRODUCT(N52:N56)</f>
        <v>5899</v>
      </c>
    </row>
  </sheetData>
  <mergeCells count="21">
    <mergeCell ref="F4:Q4"/>
    <mergeCell ref="S4:U4"/>
    <mergeCell ref="F1:Q1"/>
    <mergeCell ref="S1:U1"/>
    <mergeCell ref="F2:Q2"/>
    <mergeCell ref="S2:U2"/>
    <mergeCell ref="F3:Q3"/>
    <mergeCell ref="S3:U3"/>
    <mergeCell ref="AI28:AK28"/>
    <mergeCell ref="B27:AN27"/>
    <mergeCell ref="AL28:AN28"/>
    <mergeCell ref="Q28:S28"/>
    <mergeCell ref="T28:V28"/>
    <mergeCell ref="W28:Y28"/>
    <mergeCell ref="Z28:AB28"/>
    <mergeCell ref="AC28:AE28"/>
    <mergeCell ref="E28:G28"/>
    <mergeCell ref="H28:J28"/>
    <mergeCell ref="K28:M28"/>
    <mergeCell ref="N28:P28"/>
    <mergeCell ref="AF28:AH28"/>
  </mergeCells>
  <conditionalFormatting sqref="E30:AN49">
    <cfRule type="notContainsBlanks" dxfId="28" priority="1">
      <formula>LEN(TRIM(E30))&gt;0</formula>
    </cfRule>
  </conditionalFormatting>
  <conditionalFormatting sqref="F8:T24">
    <cfRule type="notContainsBlanks" dxfId="27" priority="6">
      <formula>LEN(TRIM(F8))&gt;0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58"/>
  <sheetViews>
    <sheetView zoomScale="110" zoomScaleNormal="110" workbookViewId="0">
      <pane xSplit="4" ySplit="1" topLeftCell="E29" activePane="bottomRight" state="frozen"/>
      <selection pane="topRight" activeCell="E1" sqref="E1"/>
      <selection pane="bottomLeft" activeCell="A2" sqref="A2"/>
      <selection pane="bottomRight" activeCell="A42" sqref="A42:XFD42"/>
    </sheetView>
  </sheetViews>
  <sheetFormatPr baseColWidth="10" defaultColWidth="11.44140625" defaultRowHeight="11.4" customHeight="1" x14ac:dyDescent="0.3"/>
  <cols>
    <col min="1" max="1" width="14.109375" style="1147" bestFit="1" customWidth="1"/>
    <col min="2" max="2" width="10" style="1147" customWidth="1"/>
    <col min="3" max="3" width="13.5546875" style="1147" customWidth="1"/>
    <col min="4" max="4" width="31.5546875" style="1147" bestFit="1" customWidth="1"/>
    <col min="5" max="5" width="15.6640625" style="1147" customWidth="1"/>
    <col min="6" max="6" width="12.77734375" style="1147" customWidth="1"/>
    <col min="7" max="7" width="20.5546875" style="1147" customWidth="1"/>
    <col min="8" max="8" width="13.109375" style="1147" customWidth="1"/>
    <col min="9" max="9" width="13.6640625" style="1147" customWidth="1"/>
    <col min="10" max="10" width="25.88671875" style="1147" customWidth="1"/>
    <col min="11" max="11" width="20.5546875" style="1147" customWidth="1"/>
    <col min="12" max="12" width="12.109375" style="1147" customWidth="1"/>
    <col min="13" max="13" width="19.5546875" style="1147" customWidth="1"/>
    <col min="14" max="14" width="20.5546875" style="1147" customWidth="1"/>
    <col min="15" max="15" width="11.33203125" style="1147" customWidth="1"/>
    <col min="16" max="16" width="19.88671875" style="1147" customWidth="1"/>
    <col min="17" max="17" width="20.109375" style="1147" customWidth="1"/>
    <col min="18" max="18" width="11.33203125" style="1147" customWidth="1"/>
    <col min="19" max="19" width="19.5546875" style="1147" customWidth="1"/>
    <col min="20" max="20" width="20.44140625" style="1147" bestFit="1" customWidth="1"/>
    <col min="21" max="21" width="13.33203125" style="1147" bestFit="1" customWidth="1"/>
    <col min="22" max="22" width="14.33203125" style="1147" bestFit="1" customWidth="1"/>
    <col min="23" max="23" width="16.33203125" style="1147" customWidth="1"/>
    <col min="24" max="24" width="11.33203125" style="1147" customWidth="1"/>
    <col min="25" max="25" width="23.21875" style="1147" customWidth="1"/>
    <col min="26" max="26" width="13" style="1147" bestFit="1" customWidth="1"/>
    <col min="27" max="27" width="13.33203125" style="1147" bestFit="1" customWidth="1"/>
    <col min="28" max="28" width="15.5546875" style="1147" bestFit="1" customWidth="1"/>
    <col min="29" max="29" width="13" style="1147" bestFit="1" customWidth="1"/>
    <col min="30" max="30" width="13.33203125" style="1147" bestFit="1" customWidth="1"/>
    <col min="31" max="31" width="14.33203125" style="1147" bestFit="1" customWidth="1"/>
    <col min="32" max="32" width="13" style="1147" bestFit="1" customWidth="1"/>
    <col min="33" max="33" width="13.33203125" style="1147" bestFit="1" customWidth="1"/>
    <col min="34" max="34" width="14.33203125" style="1147" bestFit="1" customWidth="1"/>
    <col min="35" max="35" width="13" style="1147" bestFit="1" customWidth="1"/>
    <col min="36" max="36" width="13.33203125" style="1147" bestFit="1" customWidth="1"/>
    <col min="37" max="37" width="20.44140625" style="1147" customWidth="1"/>
    <col min="38" max="38" width="12.44140625" style="1147" bestFit="1" customWidth="1"/>
    <col min="39" max="39" width="13.88671875" style="1147" customWidth="1"/>
    <col min="40" max="40" width="12.88671875" style="1147" customWidth="1"/>
    <col min="41" max="16384" width="11.44140625" style="1147"/>
  </cols>
  <sheetData>
    <row r="1" spans="1:24" ht="11.4" customHeight="1" thickBot="1" x14ac:dyDescent="0.35">
      <c r="E1" s="1148"/>
      <c r="F1" s="1385" t="s">
        <v>0</v>
      </c>
      <c r="G1" s="1385"/>
      <c r="H1" s="1385"/>
      <c r="I1" s="1385"/>
      <c r="J1" s="1385"/>
      <c r="K1" s="1385"/>
      <c r="L1" s="1385"/>
      <c r="M1" s="1385"/>
      <c r="N1" s="1385"/>
      <c r="O1" s="1385"/>
      <c r="P1" s="1385"/>
      <c r="Q1" s="1385"/>
      <c r="R1" s="1149"/>
      <c r="S1" s="1383" t="s">
        <v>1</v>
      </c>
      <c r="T1" s="1383"/>
      <c r="U1" s="1384"/>
    </row>
    <row r="2" spans="1:24" ht="11.4" customHeight="1" thickBot="1" x14ac:dyDescent="0.35">
      <c r="E2" s="1151"/>
      <c r="F2" s="1386" t="s">
        <v>2</v>
      </c>
      <c r="G2" s="1386"/>
      <c r="H2" s="1386"/>
      <c r="I2" s="1386"/>
      <c r="J2" s="1386"/>
      <c r="K2" s="1386"/>
      <c r="L2" s="1386"/>
      <c r="M2" s="1386"/>
      <c r="N2" s="1386"/>
      <c r="O2" s="1386"/>
      <c r="P2" s="1386"/>
      <c r="Q2" s="1386"/>
      <c r="R2" s="1152"/>
      <c r="S2" s="1383" t="s">
        <v>3</v>
      </c>
      <c r="T2" s="1383"/>
      <c r="U2" s="1384"/>
    </row>
    <row r="3" spans="1:24" ht="11.4" customHeight="1" thickBot="1" x14ac:dyDescent="0.35">
      <c r="E3" s="1153"/>
      <c r="F3" s="1382" t="s">
        <v>4</v>
      </c>
      <c r="G3" s="1382"/>
      <c r="H3" s="1382"/>
      <c r="I3" s="1382"/>
      <c r="J3" s="1382"/>
      <c r="K3" s="1382"/>
      <c r="L3" s="1382"/>
      <c r="M3" s="1382"/>
      <c r="N3" s="1382"/>
      <c r="O3" s="1382"/>
      <c r="P3" s="1382"/>
      <c r="Q3" s="1382"/>
      <c r="R3" s="1154"/>
      <c r="S3" s="1383" t="s">
        <v>5</v>
      </c>
      <c r="T3" s="1383"/>
      <c r="U3" s="1384"/>
    </row>
    <row r="4" spans="1:24" ht="11.4" customHeight="1" thickBot="1" x14ac:dyDescent="0.35">
      <c r="C4" s="1155"/>
      <c r="D4" s="1156" t="s">
        <v>6</v>
      </c>
      <c r="F4" s="1382" t="s">
        <v>39</v>
      </c>
      <c r="G4" s="1382"/>
      <c r="H4" s="1382"/>
      <c r="I4" s="1382"/>
      <c r="J4" s="1382"/>
      <c r="K4" s="1382"/>
      <c r="L4" s="1382"/>
      <c r="M4" s="1382"/>
      <c r="N4" s="1382"/>
      <c r="O4" s="1382"/>
      <c r="P4" s="1382"/>
      <c r="Q4" s="1382"/>
      <c r="R4" s="1157"/>
      <c r="S4" s="1383" t="s">
        <v>7</v>
      </c>
      <c r="T4" s="1383"/>
      <c r="U4" s="1384"/>
    </row>
    <row r="6" spans="1:24" ht="11.4" customHeight="1" thickBot="1" x14ac:dyDescent="0.35"/>
    <row r="7" spans="1:24" ht="11.4" customHeight="1" thickBot="1" x14ac:dyDescent="0.35">
      <c r="B7" s="1158" t="s">
        <v>9</v>
      </c>
      <c r="C7" s="1159" t="s">
        <v>10</v>
      </c>
      <c r="D7" s="1160" t="s">
        <v>11</v>
      </c>
      <c r="E7" s="1161" t="s">
        <v>12</v>
      </c>
      <c r="F7" s="1162" t="s">
        <v>13</v>
      </c>
      <c r="G7" s="1162" t="s">
        <v>14</v>
      </c>
      <c r="H7" s="1163" t="s">
        <v>15</v>
      </c>
      <c r="I7" s="1164" t="s">
        <v>16</v>
      </c>
      <c r="J7" s="1165" t="s">
        <v>15</v>
      </c>
      <c r="K7" s="1166" t="s">
        <v>14</v>
      </c>
      <c r="L7" s="1167" t="s">
        <v>17</v>
      </c>
      <c r="M7" s="1168" t="s">
        <v>15</v>
      </c>
      <c r="N7" s="1169" t="s">
        <v>14</v>
      </c>
      <c r="O7" s="1170" t="s">
        <v>18</v>
      </c>
      <c r="P7" s="1171" t="s">
        <v>15</v>
      </c>
      <c r="Q7" s="1172" t="s">
        <v>14</v>
      </c>
      <c r="R7" s="1173" t="s">
        <v>19</v>
      </c>
      <c r="S7" s="1174" t="s">
        <v>15</v>
      </c>
      <c r="T7" s="1175" t="s">
        <v>14</v>
      </c>
      <c r="U7" s="1176" t="s">
        <v>20</v>
      </c>
      <c r="V7" s="1177" t="s">
        <v>21</v>
      </c>
      <c r="W7" s="1178" t="s">
        <v>22</v>
      </c>
      <c r="X7" s="1178" t="s">
        <v>38</v>
      </c>
    </row>
    <row r="8" spans="1:24" ht="11.4" customHeight="1" x14ac:dyDescent="0.3">
      <c r="A8" s="1179" t="s">
        <v>146</v>
      </c>
      <c r="B8" s="1180" t="s">
        <v>193</v>
      </c>
      <c r="C8" s="1179"/>
      <c r="D8" s="1181" t="s">
        <v>53</v>
      </c>
      <c r="E8" s="1182" t="s">
        <v>54</v>
      </c>
      <c r="F8" s="1183">
        <v>1550</v>
      </c>
      <c r="G8" s="1184">
        <v>1343589496</v>
      </c>
      <c r="H8" s="1185">
        <v>45619</v>
      </c>
      <c r="I8" s="1186">
        <v>2690</v>
      </c>
      <c r="J8" s="1187">
        <v>45809</v>
      </c>
      <c r="K8" s="1184">
        <v>7762010280</v>
      </c>
      <c r="L8" s="1186">
        <v>1810</v>
      </c>
      <c r="M8" s="1187">
        <v>45809</v>
      </c>
      <c r="N8" s="1184">
        <v>7762010280</v>
      </c>
      <c r="O8" s="1186">
        <v>5500</v>
      </c>
      <c r="P8" s="1187">
        <v>45811</v>
      </c>
      <c r="Q8" s="1188">
        <v>7762010280</v>
      </c>
      <c r="R8" s="1186"/>
      <c r="S8" s="1187"/>
      <c r="T8" s="1188"/>
      <c r="U8" s="1179"/>
      <c r="V8" s="1189"/>
      <c r="W8" s="1190"/>
      <c r="X8" s="1191"/>
    </row>
    <row r="9" spans="1:24" ht="11.4" customHeight="1" x14ac:dyDescent="0.3">
      <c r="A9" s="1179" t="s">
        <v>147</v>
      </c>
      <c r="B9" s="1180" t="s">
        <v>193</v>
      </c>
      <c r="C9" s="1179"/>
      <c r="D9" s="1181" t="s">
        <v>57</v>
      </c>
      <c r="E9" s="1192" t="s">
        <v>54</v>
      </c>
      <c r="F9" s="1186">
        <v>1550</v>
      </c>
      <c r="G9" s="1193">
        <v>2813342240</v>
      </c>
      <c r="H9" s="1194">
        <v>45636</v>
      </c>
      <c r="I9" s="1186">
        <v>2690</v>
      </c>
      <c r="J9" s="1187">
        <v>45636</v>
      </c>
      <c r="K9" s="1193">
        <v>2813452941</v>
      </c>
      <c r="L9" s="1186">
        <v>2490</v>
      </c>
      <c r="M9" s="1187">
        <v>45636</v>
      </c>
      <c r="N9" s="1193">
        <v>2813386375</v>
      </c>
      <c r="O9" s="1186">
        <v>5500</v>
      </c>
      <c r="P9" s="1187">
        <v>45797</v>
      </c>
      <c r="Q9" s="1188">
        <v>6736479464</v>
      </c>
      <c r="R9" s="1186"/>
      <c r="S9" s="1187"/>
      <c r="T9" s="1188"/>
      <c r="U9" s="1179"/>
      <c r="V9" s="1189"/>
      <c r="W9" s="1190"/>
      <c r="X9" s="1191"/>
    </row>
    <row r="10" spans="1:24" ht="11.4" customHeight="1" x14ac:dyDescent="0.3">
      <c r="A10" s="1179" t="s">
        <v>148</v>
      </c>
      <c r="B10" s="1180" t="s">
        <v>193</v>
      </c>
      <c r="C10" s="1179"/>
      <c r="D10" s="1181" t="s">
        <v>63</v>
      </c>
      <c r="E10" s="1192" t="s">
        <v>54</v>
      </c>
      <c r="F10" s="1186">
        <v>1550</v>
      </c>
      <c r="G10" s="1193" t="s">
        <v>64</v>
      </c>
      <c r="H10" s="1194">
        <v>45643</v>
      </c>
      <c r="I10" s="1186">
        <v>2690</v>
      </c>
      <c r="J10" s="1187">
        <v>45810</v>
      </c>
      <c r="K10" s="1193">
        <v>8.5905632984315296E+16</v>
      </c>
      <c r="L10" s="1186">
        <v>2490</v>
      </c>
      <c r="M10" s="1187">
        <v>45810</v>
      </c>
      <c r="N10" s="1195">
        <v>8.5905632984315296E+16</v>
      </c>
      <c r="O10" s="1186">
        <v>5500</v>
      </c>
      <c r="P10" s="1187">
        <v>45792</v>
      </c>
      <c r="Q10" s="1188">
        <v>8.5904167924313504E+16</v>
      </c>
      <c r="R10" s="1186"/>
      <c r="S10" s="1187"/>
      <c r="T10" s="1188"/>
      <c r="U10" s="1179" t="s">
        <v>258</v>
      </c>
      <c r="V10" s="1189">
        <v>0.25</v>
      </c>
      <c r="W10" s="1190">
        <v>3838</v>
      </c>
      <c r="X10" s="1191">
        <v>2879</v>
      </c>
    </row>
    <row r="11" spans="1:24" ht="11.4" customHeight="1" x14ac:dyDescent="0.3">
      <c r="A11" s="1179" t="s">
        <v>149</v>
      </c>
      <c r="B11" s="1180" t="s">
        <v>193</v>
      </c>
      <c r="C11" s="1179"/>
      <c r="D11" s="1181" t="s">
        <v>74</v>
      </c>
      <c r="E11" s="1192" t="s">
        <v>54</v>
      </c>
      <c r="F11" s="1186">
        <v>1550</v>
      </c>
      <c r="G11" s="1193">
        <v>287318</v>
      </c>
      <c r="H11" s="1194">
        <v>45657</v>
      </c>
      <c r="I11" s="1186">
        <v>2690</v>
      </c>
      <c r="J11" s="1187">
        <v>45889</v>
      </c>
      <c r="K11" s="1188">
        <v>164200</v>
      </c>
      <c r="L11" s="1186"/>
      <c r="M11" s="1187"/>
      <c r="N11" s="1193"/>
      <c r="O11" s="1186">
        <v>5900</v>
      </c>
      <c r="P11" s="1187">
        <v>45900</v>
      </c>
      <c r="Q11" s="1179">
        <v>310825</v>
      </c>
      <c r="R11" s="1186"/>
      <c r="S11" s="1187"/>
      <c r="T11" s="1188"/>
      <c r="U11" s="1179" t="s">
        <v>258</v>
      </c>
      <c r="V11" s="1189">
        <v>0.3</v>
      </c>
      <c r="W11" s="1190">
        <v>3838</v>
      </c>
      <c r="X11" s="1191">
        <v>2686</v>
      </c>
    </row>
    <row r="12" spans="1:24" ht="11.4" customHeight="1" x14ac:dyDescent="0.3">
      <c r="A12" s="1179" t="s">
        <v>137</v>
      </c>
      <c r="B12" s="1180" t="s">
        <v>193</v>
      </c>
      <c r="C12" s="1179"/>
      <c r="D12" s="1181" t="s">
        <v>84</v>
      </c>
      <c r="E12" s="1192" t="s">
        <v>54</v>
      </c>
      <c r="F12" s="1186">
        <v>1550</v>
      </c>
      <c r="G12" s="1196">
        <v>8127769</v>
      </c>
      <c r="H12" s="1194">
        <v>45677</v>
      </c>
      <c r="I12" s="1186"/>
      <c r="J12" s="1187"/>
      <c r="K12" s="1188"/>
      <c r="L12" s="1186"/>
      <c r="M12" s="1187"/>
      <c r="N12" s="1196"/>
      <c r="O12" s="1186"/>
      <c r="P12" s="1187"/>
      <c r="Q12" s="1188"/>
      <c r="R12" s="1186"/>
      <c r="S12" s="1187"/>
      <c r="T12" s="1188"/>
      <c r="U12" s="1179"/>
      <c r="V12" s="1189"/>
      <c r="W12" s="1190"/>
      <c r="X12" s="1191"/>
    </row>
    <row r="13" spans="1:24" ht="11.4" customHeight="1" x14ac:dyDescent="0.3">
      <c r="A13" s="1179" t="s">
        <v>150</v>
      </c>
      <c r="B13" s="1180" t="s">
        <v>193</v>
      </c>
      <c r="C13" s="1179" t="s">
        <v>89</v>
      </c>
      <c r="D13" s="1197" t="s">
        <v>85</v>
      </c>
      <c r="E13" s="1192" t="s">
        <v>87</v>
      </c>
      <c r="F13" s="1186">
        <v>1550</v>
      </c>
      <c r="G13" s="1193">
        <v>7328700925</v>
      </c>
      <c r="H13" s="1194">
        <v>45688</v>
      </c>
      <c r="I13" s="1186">
        <v>2690</v>
      </c>
      <c r="J13" s="1187">
        <v>45905</v>
      </c>
      <c r="K13" s="1188">
        <v>572893</v>
      </c>
      <c r="L13" s="1186">
        <v>2490</v>
      </c>
      <c r="M13" s="1187">
        <v>45905</v>
      </c>
      <c r="N13" s="1193">
        <v>572893</v>
      </c>
      <c r="O13" s="1198"/>
      <c r="P13" s="1199"/>
      <c r="Q13" s="1200"/>
      <c r="R13" s="1186"/>
      <c r="S13" s="1187"/>
      <c r="T13" s="1188"/>
      <c r="U13" s="1179" t="s">
        <v>211</v>
      </c>
      <c r="V13" s="1189">
        <v>0.3</v>
      </c>
      <c r="W13" s="1190">
        <v>3199</v>
      </c>
      <c r="X13" s="1191">
        <v>2239</v>
      </c>
    </row>
    <row r="14" spans="1:24" ht="11.4" customHeight="1" x14ac:dyDescent="0.3">
      <c r="A14" s="1179" t="s">
        <v>151</v>
      </c>
      <c r="B14" s="1180" t="s">
        <v>193</v>
      </c>
      <c r="C14" s="1179" t="s">
        <v>89</v>
      </c>
      <c r="D14" s="1181" t="s">
        <v>91</v>
      </c>
      <c r="E14" s="1192" t="s">
        <v>87</v>
      </c>
      <c r="F14" s="1186">
        <v>1550</v>
      </c>
      <c r="G14" s="1188">
        <v>8.5904684494303696E+16</v>
      </c>
      <c r="H14" s="1187">
        <v>45694</v>
      </c>
      <c r="I14" s="1186">
        <v>2690</v>
      </c>
      <c r="J14" s="1187">
        <v>45895</v>
      </c>
      <c r="K14" s="1188">
        <v>332872</v>
      </c>
      <c r="L14" s="1186">
        <v>2490</v>
      </c>
      <c r="M14" s="1187">
        <v>45895</v>
      </c>
      <c r="N14" s="1188">
        <v>332872</v>
      </c>
      <c r="O14" s="1198"/>
      <c r="P14" s="1199"/>
      <c r="Q14" s="1200"/>
      <c r="R14" s="1186"/>
      <c r="S14" s="1187"/>
      <c r="T14" s="1188"/>
      <c r="U14" s="1179" t="s">
        <v>211</v>
      </c>
      <c r="V14" s="1201">
        <v>0.2</v>
      </c>
      <c r="W14" s="1190">
        <v>3199</v>
      </c>
      <c r="X14" s="1191">
        <v>2559</v>
      </c>
    </row>
    <row r="15" spans="1:24" ht="11.4" customHeight="1" x14ac:dyDescent="0.25">
      <c r="A15" s="1179" t="s">
        <v>152</v>
      </c>
      <c r="B15" s="1180" t="s">
        <v>193</v>
      </c>
      <c r="C15" s="1179"/>
      <c r="D15" s="1181" t="s">
        <v>110</v>
      </c>
      <c r="E15" s="1192" t="s">
        <v>87</v>
      </c>
      <c r="F15" s="1186">
        <v>1550</v>
      </c>
      <c r="G15" s="1188" t="s">
        <v>111</v>
      </c>
      <c r="H15" s="1187">
        <v>45716</v>
      </c>
      <c r="I15" s="1186">
        <v>2690</v>
      </c>
      <c r="J15" s="1187">
        <v>45866</v>
      </c>
      <c r="K15" s="1188">
        <v>1538958</v>
      </c>
      <c r="L15" s="1186">
        <v>1992</v>
      </c>
      <c r="M15" s="1187">
        <v>45866</v>
      </c>
      <c r="N15" s="1188">
        <v>4029199</v>
      </c>
      <c r="O15" s="1186">
        <v>5900</v>
      </c>
      <c r="P15" s="1187">
        <v>45869</v>
      </c>
      <c r="Q15" s="1188">
        <v>281018</v>
      </c>
      <c r="R15" s="1202"/>
      <c r="S15" s="1187"/>
      <c r="T15" s="1188"/>
      <c r="U15" s="1179"/>
      <c r="V15" s="1189"/>
      <c r="W15" s="1190"/>
      <c r="X15" s="1191"/>
    </row>
    <row r="16" spans="1:24" ht="11.4" customHeight="1" x14ac:dyDescent="0.3">
      <c r="A16" s="1179" t="s">
        <v>153</v>
      </c>
      <c r="B16" s="1180" t="s">
        <v>193</v>
      </c>
      <c r="C16" s="1179"/>
      <c r="D16" s="1181" t="s">
        <v>117</v>
      </c>
      <c r="E16" s="1192" t="s">
        <v>87</v>
      </c>
      <c r="F16" s="1186">
        <v>1550</v>
      </c>
      <c r="G16" s="1188">
        <v>9741630351</v>
      </c>
      <c r="H16" s="1187">
        <v>45716</v>
      </c>
      <c r="I16" s="1186">
        <v>2690</v>
      </c>
      <c r="J16" s="1187">
        <v>45895</v>
      </c>
      <c r="K16" s="1188" t="s">
        <v>415</v>
      </c>
      <c r="L16" s="1186">
        <v>2490</v>
      </c>
      <c r="M16" s="1187">
        <v>45895</v>
      </c>
      <c r="N16" s="1188" t="s">
        <v>415</v>
      </c>
      <c r="O16" s="1186">
        <v>5900</v>
      </c>
      <c r="P16" s="1187">
        <v>45895</v>
      </c>
      <c r="Q16" s="1188" t="s">
        <v>415</v>
      </c>
      <c r="R16" s="1186"/>
      <c r="S16" s="1187"/>
      <c r="T16" s="1188"/>
      <c r="U16" s="1179" t="s">
        <v>347</v>
      </c>
      <c r="V16" s="1201">
        <v>0.25</v>
      </c>
      <c r="W16" s="1190">
        <v>3838.8</v>
      </c>
      <c r="X16" s="1191">
        <v>2879</v>
      </c>
    </row>
    <row r="17" spans="1:24" ht="11.4" customHeight="1" x14ac:dyDescent="0.3">
      <c r="A17" s="1179" t="s">
        <v>269</v>
      </c>
      <c r="B17" s="1180" t="s">
        <v>193</v>
      </c>
      <c r="C17" s="1179"/>
      <c r="D17" s="1181" t="s">
        <v>184</v>
      </c>
      <c r="E17" s="1192" t="s">
        <v>185</v>
      </c>
      <c r="F17" s="1186">
        <v>1550</v>
      </c>
      <c r="G17" s="1188">
        <v>2998534748</v>
      </c>
      <c r="H17" s="1187">
        <v>45754</v>
      </c>
      <c r="I17" s="1186">
        <v>1234</v>
      </c>
      <c r="J17" s="1187">
        <v>45825</v>
      </c>
      <c r="K17" s="1188">
        <v>63415250</v>
      </c>
      <c r="L17" s="1186"/>
      <c r="M17" s="1187"/>
      <c r="N17" s="1188"/>
      <c r="O17" s="1186">
        <v>2655</v>
      </c>
      <c r="P17" s="1187">
        <v>45903</v>
      </c>
      <c r="Q17" s="1188">
        <v>3012346</v>
      </c>
      <c r="R17" s="1186"/>
      <c r="S17" s="1187"/>
      <c r="T17" s="1188"/>
      <c r="U17" s="1179"/>
      <c r="V17" s="1201"/>
      <c r="W17" s="1190"/>
      <c r="X17" s="1191"/>
    </row>
    <row r="18" spans="1:24" s="1211" customFormat="1" ht="11.4" customHeight="1" x14ac:dyDescent="0.3">
      <c r="A18" s="1203" t="s">
        <v>187</v>
      </c>
      <c r="B18" s="1180" t="s">
        <v>77</v>
      </c>
      <c r="C18" s="1203"/>
      <c r="D18" s="1181" t="s">
        <v>376</v>
      </c>
      <c r="E18" s="1192" t="s">
        <v>185</v>
      </c>
      <c r="F18" s="1204" t="s">
        <v>188</v>
      </c>
      <c r="G18" s="1192" t="s">
        <v>188</v>
      </c>
      <c r="H18" s="1192" t="s">
        <v>188</v>
      </c>
      <c r="I18" s="1205">
        <v>2690</v>
      </c>
      <c r="J18" s="1187">
        <v>45838</v>
      </c>
      <c r="K18" s="1206">
        <v>48635063</v>
      </c>
      <c r="L18" s="1186">
        <v>2490</v>
      </c>
      <c r="M18" s="1187">
        <v>45793</v>
      </c>
      <c r="N18" s="1188">
        <v>6378639052</v>
      </c>
      <c r="O18" s="1205">
        <v>5900</v>
      </c>
      <c r="P18" s="1207">
        <v>45861</v>
      </c>
      <c r="Q18" s="1206">
        <v>14374475</v>
      </c>
      <c r="R18" s="1205"/>
      <c r="S18" s="1203"/>
      <c r="T18" s="1206"/>
      <c r="U18" s="1203" t="s">
        <v>211</v>
      </c>
      <c r="V18" s="1208">
        <v>0.2</v>
      </c>
      <c r="W18" s="1209">
        <v>3838.8</v>
      </c>
      <c r="X18" s="1210">
        <v>2559</v>
      </c>
    </row>
    <row r="19" spans="1:24" ht="11.4" customHeight="1" x14ac:dyDescent="0.3">
      <c r="A19" s="1179" t="s">
        <v>309</v>
      </c>
      <c r="B19" s="1180" t="s">
        <v>263</v>
      </c>
      <c r="C19" s="1179" t="s">
        <v>310</v>
      </c>
      <c r="D19" s="1181" t="s">
        <v>308</v>
      </c>
      <c r="E19" s="1192" t="s">
        <v>195</v>
      </c>
      <c r="F19" s="1186" t="s">
        <v>66</v>
      </c>
      <c r="G19" s="1188" t="s">
        <v>66</v>
      </c>
      <c r="H19" s="1187">
        <v>45869</v>
      </c>
      <c r="I19" s="1186">
        <v>1883</v>
      </c>
      <c r="J19" s="1187">
        <v>45869</v>
      </c>
      <c r="K19" s="1188">
        <v>27027325</v>
      </c>
      <c r="L19" s="1186">
        <v>1743</v>
      </c>
      <c r="M19" s="1187">
        <v>45869</v>
      </c>
      <c r="N19" s="1188">
        <v>30996518</v>
      </c>
      <c r="O19" s="1186">
        <v>5900</v>
      </c>
      <c r="P19" s="1187">
        <v>45871</v>
      </c>
      <c r="Q19" s="1188">
        <v>27816400</v>
      </c>
      <c r="R19" s="1186">
        <v>3085</v>
      </c>
      <c r="S19" s="1212">
        <v>45871</v>
      </c>
      <c r="T19" s="1213">
        <v>19765211</v>
      </c>
      <c r="U19" s="1179" t="s">
        <v>432</v>
      </c>
      <c r="V19" s="1201">
        <v>0.3</v>
      </c>
      <c r="W19" s="1190">
        <v>3838</v>
      </c>
      <c r="X19" s="1191">
        <v>2878</v>
      </c>
    </row>
    <row r="20" spans="1:24" ht="11.4" customHeight="1" x14ac:dyDescent="0.3">
      <c r="A20" s="1179" t="s">
        <v>350</v>
      </c>
      <c r="B20" s="1180" t="s">
        <v>193</v>
      </c>
      <c r="C20" s="1179" t="s">
        <v>349</v>
      </c>
      <c r="D20" s="1181" t="s">
        <v>348</v>
      </c>
      <c r="E20" s="1192" t="s">
        <v>195</v>
      </c>
      <c r="F20" s="1186" t="s">
        <v>66</v>
      </c>
      <c r="G20" s="1188" t="s">
        <v>66</v>
      </c>
      <c r="H20" s="1187">
        <v>45883</v>
      </c>
      <c r="I20" s="1186">
        <v>2690</v>
      </c>
      <c r="J20" s="1187">
        <v>45883</v>
      </c>
      <c r="K20" s="1188">
        <v>743269432</v>
      </c>
      <c r="L20" s="1186">
        <v>2490</v>
      </c>
      <c r="M20" s="1187">
        <v>45883</v>
      </c>
      <c r="N20" s="1188">
        <v>743269432</v>
      </c>
      <c r="O20" s="1186">
        <v>3000</v>
      </c>
      <c r="P20" s="1187">
        <v>45883</v>
      </c>
      <c r="Q20" s="1188">
        <v>743269432</v>
      </c>
      <c r="R20" s="1186"/>
      <c r="S20" s="1179"/>
      <c r="T20" s="1188"/>
      <c r="U20" s="1179" t="s">
        <v>258</v>
      </c>
      <c r="V20" s="1201">
        <v>0.25</v>
      </c>
      <c r="W20" s="1190">
        <v>3838</v>
      </c>
      <c r="X20" s="1191">
        <v>2878</v>
      </c>
    </row>
    <row r="21" spans="1:24" ht="11.4" customHeight="1" x14ac:dyDescent="0.3">
      <c r="A21" s="1179" t="s">
        <v>355</v>
      </c>
      <c r="B21" s="1180" t="s">
        <v>193</v>
      </c>
      <c r="C21" s="1179"/>
      <c r="D21" s="1181" t="s">
        <v>354</v>
      </c>
      <c r="E21" s="1192" t="s">
        <v>195</v>
      </c>
      <c r="F21" s="1186">
        <v>1860</v>
      </c>
      <c r="G21" s="1188">
        <v>55270537</v>
      </c>
      <c r="H21" s="1187">
        <v>45865</v>
      </c>
      <c r="I21" s="1186">
        <v>2783</v>
      </c>
      <c r="J21" s="1187">
        <v>45839</v>
      </c>
      <c r="K21" s="1188">
        <v>2324992</v>
      </c>
      <c r="L21" s="1186"/>
      <c r="M21" s="1187"/>
      <c r="N21" s="1188"/>
      <c r="O21" s="1186"/>
      <c r="P21" s="1187"/>
      <c r="Q21" s="1188"/>
      <c r="R21" s="1186"/>
      <c r="S21" s="1179"/>
      <c r="T21" s="1188"/>
      <c r="U21" s="1179" t="s">
        <v>258</v>
      </c>
      <c r="V21" s="1189">
        <v>0.25</v>
      </c>
      <c r="W21" s="1190">
        <v>3838</v>
      </c>
      <c r="X21" s="1191">
        <v>2878</v>
      </c>
    </row>
    <row r="22" spans="1:24" ht="11.4" customHeight="1" x14ac:dyDescent="0.3">
      <c r="A22" s="1179" t="s">
        <v>370</v>
      </c>
      <c r="B22" s="1180" t="s">
        <v>193</v>
      </c>
      <c r="C22" s="1179"/>
      <c r="D22" s="1181" t="s">
        <v>369</v>
      </c>
      <c r="E22" s="1192" t="s">
        <v>195</v>
      </c>
      <c r="F22" s="1186" t="s">
        <v>66</v>
      </c>
      <c r="G22" s="1188" t="s">
        <v>66</v>
      </c>
      <c r="H22" s="1187">
        <v>45890</v>
      </c>
      <c r="I22" s="1186">
        <v>2690</v>
      </c>
      <c r="J22" s="1187">
        <v>45890</v>
      </c>
      <c r="K22" s="1188">
        <v>91745108</v>
      </c>
      <c r="L22" s="1186">
        <v>2490</v>
      </c>
      <c r="M22" s="1187">
        <v>45901</v>
      </c>
      <c r="N22" s="1188">
        <v>58428646</v>
      </c>
      <c r="O22" s="1186">
        <v>3000</v>
      </c>
      <c r="P22" s="1187">
        <v>45912</v>
      </c>
      <c r="Q22" s="1188">
        <v>9120272</v>
      </c>
      <c r="R22" s="1186"/>
      <c r="S22" s="1187"/>
      <c r="T22" s="1188"/>
      <c r="U22" s="1179" t="s">
        <v>258</v>
      </c>
      <c r="V22" s="1189">
        <v>0.18</v>
      </c>
      <c r="W22" s="1190">
        <v>3838.8</v>
      </c>
      <c r="X22" s="1191">
        <v>3147</v>
      </c>
    </row>
    <row r="23" spans="1:24" ht="11.4" customHeight="1" x14ac:dyDescent="0.3">
      <c r="A23" s="1179" t="s">
        <v>373</v>
      </c>
      <c r="B23" s="1180" t="s">
        <v>193</v>
      </c>
      <c r="C23" s="1214" t="s">
        <v>372</v>
      </c>
      <c r="D23" s="1215" t="s">
        <v>371</v>
      </c>
      <c r="E23" s="1216" t="s">
        <v>195</v>
      </c>
      <c r="F23" s="1217" t="s">
        <v>66</v>
      </c>
      <c r="G23" s="1218" t="s">
        <v>66</v>
      </c>
      <c r="H23" s="1219">
        <v>45898</v>
      </c>
      <c r="I23" s="1217">
        <v>1345</v>
      </c>
      <c r="J23" s="1219">
        <v>45898</v>
      </c>
      <c r="K23" s="1218">
        <v>87801674</v>
      </c>
      <c r="L23" s="1217">
        <v>1245</v>
      </c>
      <c r="M23" s="1219">
        <v>45898</v>
      </c>
      <c r="N23" s="1218">
        <v>87801674</v>
      </c>
      <c r="O23" s="1217"/>
      <c r="P23" s="1219"/>
      <c r="Q23" s="1218"/>
      <c r="R23" s="1217"/>
      <c r="S23" s="1219"/>
      <c r="T23" s="1218"/>
      <c r="U23" s="1214"/>
      <c r="V23" s="1220"/>
      <c r="W23" s="1221"/>
      <c r="X23" s="1222"/>
    </row>
    <row r="24" spans="1:24" ht="11.4" customHeight="1" x14ac:dyDescent="0.3">
      <c r="A24" s="1179" t="s">
        <v>396</v>
      </c>
      <c r="B24" s="1180" t="s">
        <v>193</v>
      </c>
      <c r="C24" s="1214"/>
      <c r="D24" s="1215" t="s">
        <v>397</v>
      </c>
      <c r="E24" s="1216" t="s">
        <v>195</v>
      </c>
      <c r="F24" s="1217" t="s">
        <v>66</v>
      </c>
      <c r="G24" s="1218" t="s">
        <v>66</v>
      </c>
      <c r="H24" s="1219">
        <v>45890</v>
      </c>
      <c r="I24" s="1217">
        <v>1445</v>
      </c>
      <c r="J24" s="1219">
        <v>45897</v>
      </c>
      <c r="K24" s="1218">
        <v>681592</v>
      </c>
      <c r="L24" s="1217">
        <v>1195</v>
      </c>
      <c r="M24" s="1219">
        <v>45897</v>
      </c>
      <c r="N24" s="1218">
        <v>681592</v>
      </c>
      <c r="O24" s="1217">
        <v>3000</v>
      </c>
      <c r="P24" s="1219">
        <v>45918</v>
      </c>
      <c r="Q24" s="1218">
        <v>180925</v>
      </c>
      <c r="R24" s="1217"/>
      <c r="S24" s="1219"/>
      <c r="T24" s="1218"/>
      <c r="U24" s="1214" t="s">
        <v>258</v>
      </c>
      <c r="V24" s="1220">
        <v>0.3</v>
      </c>
      <c r="W24" s="1221">
        <v>3838</v>
      </c>
      <c r="X24" s="1222">
        <v>2686</v>
      </c>
    </row>
    <row r="25" spans="1:24" ht="11.4" customHeight="1" x14ac:dyDescent="0.3">
      <c r="A25" s="1179"/>
      <c r="B25" s="1180" t="s">
        <v>77</v>
      </c>
      <c r="C25" s="1214"/>
      <c r="D25" s="1215" t="s">
        <v>464</v>
      </c>
      <c r="E25" s="1216" t="s">
        <v>201</v>
      </c>
      <c r="F25" s="1217"/>
      <c r="G25" s="1218"/>
      <c r="H25" s="1219"/>
      <c r="I25" s="1217"/>
      <c r="J25" s="1219"/>
      <c r="K25" s="1218"/>
      <c r="L25" s="1217"/>
      <c r="M25" s="1219"/>
      <c r="N25" s="1218"/>
      <c r="O25" s="1217"/>
      <c r="P25" s="1219"/>
      <c r="Q25" s="1218"/>
      <c r="R25" s="1217"/>
      <c r="S25" s="1219"/>
      <c r="T25" s="1218"/>
      <c r="U25" s="1214"/>
      <c r="V25" s="1220"/>
      <c r="W25" s="1221"/>
      <c r="X25" s="1222"/>
    </row>
    <row r="26" spans="1:24" ht="11.4" customHeight="1" x14ac:dyDescent="0.3">
      <c r="A26" s="1179" t="s">
        <v>492</v>
      </c>
      <c r="B26" s="1180"/>
      <c r="C26" s="1214" t="s">
        <v>77</v>
      </c>
      <c r="D26" s="1215" t="s">
        <v>491</v>
      </c>
      <c r="E26" s="1216" t="s">
        <v>87</v>
      </c>
      <c r="F26" s="1217">
        <v>1550</v>
      </c>
      <c r="G26" s="1218">
        <v>46190675</v>
      </c>
      <c r="H26" s="1219">
        <v>46056</v>
      </c>
      <c r="I26" s="1217">
        <v>1445</v>
      </c>
      <c r="J26" s="1219">
        <v>46056</v>
      </c>
      <c r="K26" s="1218">
        <v>46190675</v>
      </c>
      <c r="L26" s="1217">
        <v>1245</v>
      </c>
      <c r="M26" s="1219">
        <v>46056</v>
      </c>
      <c r="N26" s="1218">
        <v>46190675</v>
      </c>
      <c r="O26" s="1217"/>
      <c r="P26" s="1219"/>
      <c r="Q26" s="1218"/>
      <c r="R26" s="1217"/>
      <c r="S26" s="1219"/>
      <c r="T26" s="1218"/>
      <c r="U26" s="1214" t="s">
        <v>211</v>
      </c>
      <c r="V26" s="1220">
        <v>0.25</v>
      </c>
      <c r="W26" s="1221">
        <v>3199</v>
      </c>
      <c r="X26" s="1222">
        <v>2559</v>
      </c>
    </row>
    <row r="27" spans="1:24" ht="11.4" customHeight="1" x14ac:dyDescent="0.3">
      <c r="A27" s="1179"/>
      <c r="B27" s="1180"/>
      <c r="C27" s="1214"/>
      <c r="D27" s="1215" t="s">
        <v>493</v>
      </c>
      <c r="E27" s="1216" t="s">
        <v>87</v>
      </c>
      <c r="F27" s="1217"/>
      <c r="G27" s="1218"/>
      <c r="H27" s="1219"/>
      <c r="I27" s="1217"/>
      <c r="J27" s="1219"/>
      <c r="K27" s="1218"/>
      <c r="L27" s="1217"/>
      <c r="M27" s="1219"/>
      <c r="N27" s="1218"/>
      <c r="O27" s="1217"/>
      <c r="P27" s="1219"/>
      <c r="Q27" s="1218"/>
      <c r="R27" s="1217"/>
      <c r="S27" s="1219"/>
      <c r="T27" s="1218"/>
      <c r="U27" s="1214"/>
      <c r="V27" s="1220"/>
      <c r="W27" s="1221"/>
      <c r="X27" s="1222"/>
    </row>
    <row r="28" spans="1:24" ht="11.4" customHeight="1" thickBot="1" x14ac:dyDescent="0.35">
      <c r="A28" s="1179"/>
      <c r="B28" s="1180"/>
      <c r="C28" s="1223"/>
      <c r="D28" s="1224"/>
      <c r="E28" s="1225"/>
      <c r="F28" s="1226"/>
      <c r="G28" s="1227"/>
      <c r="H28" s="1228"/>
      <c r="I28" s="1226"/>
      <c r="J28" s="1228"/>
      <c r="K28" s="1227"/>
      <c r="L28" s="1226"/>
      <c r="M28" s="1228"/>
      <c r="N28" s="1227"/>
      <c r="O28" s="1226"/>
      <c r="P28" s="1228"/>
      <c r="Q28" s="1227"/>
      <c r="R28" s="1226"/>
      <c r="S28" s="1228"/>
      <c r="T28" s="1227"/>
      <c r="U28" s="1223"/>
      <c r="V28" s="1229"/>
      <c r="W28" s="1230"/>
      <c r="X28" s="1231"/>
    </row>
    <row r="32" spans="1:24" ht="11.4" customHeight="1" thickBot="1" x14ac:dyDescent="0.35"/>
    <row r="33" spans="2:83" ht="11.4" customHeight="1" thickBot="1" x14ac:dyDescent="0.35">
      <c r="B33" s="1387" t="s">
        <v>24</v>
      </c>
      <c r="C33" s="1388"/>
      <c r="D33" s="1388"/>
      <c r="E33" s="1388"/>
      <c r="F33" s="1388"/>
      <c r="G33" s="1388"/>
      <c r="H33" s="1388"/>
      <c r="I33" s="1388"/>
      <c r="J33" s="1388"/>
      <c r="K33" s="1388"/>
      <c r="L33" s="1388"/>
      <c r="M33" s="1388"/>
      <c r="N33" s="1388"/>
      <c r="O33" s="1388"/>
      <c r="P33" s="1388"/>
      <c r="Q33" s="1388"/>
      <c r="R33" s="1388"/>
      <c r="S33" s="1388"/>
      <c r="T33" s="1388"/>
      <c r="U33" s="1388"/>
      <c r="V33" s="1388"/>
      <c r="W33" s="1388"/>
      <c r="X33" s="1388"/>
      <c r="Y33" s="1388"/>
      <c r="Z33" s="1388"/>
      <c r="AA33" s="1388"/>
      <c r="AB33" s="1388"/>
      <c r="AC33" s="1388"/>
      <c r="AD33" s="1388"/>
      <c r="AE33" s="1388"/>
      <c r="AF33" s="1388"/>
      <c r="AG33" s="1388"/>
      <c r="AH33" s="1388"/>
      <c r="AI33" s="1388"/>
      <c r="AJ33" s="1388"/>
      <c r="AK33" s="1388"/>
      <c r="AL33" s="1388"/>
      <c r="AM33" s="1388"/>
      <c r="AN33" s="1389"/>
    </row>
    <row r="34" spans="2:83" ht="11.4" customHeight="1" thickBot="1" x14ac:dyDescent="0.35">
      <c r="B34" s="1232" t="s">
        <v>9</v>
      </c>
      <c r="C34" s="1233" t="s">
        <v>10</v>
      </c>
      <c r="D34" s="1232" t="s">
        <v>11</v>
      </c>
      <c r="E34" s="1376" t="s">
        <v>25</v>
      </c>
      <c r="F34" s="1377"/>
      <c r="G34" s="1378"/>
      <c r="H34" s="1374" t="s">
        <v>26</v>
      </c>
      <c r="I34" s="1374"/>
      <c r="J34" s="1374"/>
      <c r="K34" s="1376" t="s">
        <v>27</v>
      </c>
      <c r="L34" s="1377"/>
      <c r="M34" s="1378"/>
      <c r="N34" s="1374" t="s">
        <v>28</v>
      </c>
      <c r="O34" s="1374"/>
      <c r="P34" s="1374"/>
      <c r="Q34" s="1376" t="s">
        <v>29</v>
      </c>
      <c r="R34" s="1377"/>
      <c r="S34" s="1378"/>
      <c r="T34" s="1374" t="s">
        <v>30</v>
      </c>
      <c r="U34" s="1374"/>
      <c r="V34" s="1374"/>
      <c r="W34" s="1376" t="s">
        <v>36</v>
      </c>
      <c r="X34" s="1377"/>
      <c r="Y34" s="1378"/>
      <c r="Z34" s="1374" t="s">
        <v>31</v>
      </c>
      <c r="AA34" s="1374"/>
      <c r="AB34" s="1374"/>
      <c r="AC34" s="1376" t="s">
        <v>32</v>
      </c>
      <c r="AD34" s="1377"/>
      <c r="AE34" s="1378"/>
      <c r="AF34" s="1374" t="s">
        <v>33</v>
      </c>
      <c r="AG34" s="1374"/>
      <c r="AH34" s="1374"/>
      <c r="AI34" s="1376" t="s">
        <v>34</v>
      </c>
      <c r="AJ34" s="1377"/>
      <c r="AK34" s="1378"/>
      <c r="AL34" s="1374" t="s">
        <v>35</v>
      </c>
      <c r="AM34" s="1374"/>
      <c r="AN34" s="1375"/>
    </row>
    <row r="35" spans="2:83" ht="11.4" customHeight="1" thickBot="1" x14ac:dyDescent="0.35">
      <c r="B35" s="1234"/>
      <c r="C35" s="1150"/>
      <c r="D35" s="1150"/>
      <c r="E35" s="1235" t="s">
        <v>37</v>
      </c>
      <c r="F35" s="1236" t="s">
        <v>15</v>
      </c>
      <c r="G35" s="1237" t="s">
        <v>14</v>
      </c>
      <c r="H35" s="1236" t="s">
        <v>37</v>
      </c>
      <c r="I35" s="1236" t="s">
        <v>15</v>
      </c>
      <c r="J35" s="1236" t="s">
        <v>14</v>
      </c>
      <c r="K35" s="1235" t="s">
        <v>37</v>
      </c>
      <c r="L35" s="1236" t="s">
        <v>15</v>
      </c>
      <c r="M35" s="1237" t="s">
        <v>14</v>
      </c>
      <c r="N35" s="1236" t="s">
        <v>37</v>
      </c>
      <c r="O35" s="1236" t="s">
        <v>15</v>
      </c>
      <c r="P35" s="1236" t="s">
        <v>14</v>
      </c>
      <c r="Q35" s="1235" t="s">
        <v>37</v>
      </c>
      <c r="R35" s="1236" t="s">
        <v>15</v>
      </c>
      <c r="S35" s="1237" t="s">
        <v>14</v>
      </c>
      <c r="T35" s="1236" t="s">
        <v>37</v>
      </c>
      <c r="U35" s="1236" t="s">
        <v>15</v>
      </c>
      <c r="V35" s="1236" t="s">
        <v>14</v>
      </c>
      <c r="W35" s="1235" t="s">
        <v>37</v>
      </c>
      <c r="X35" s="1236" t="s">
        <v>15</v>
      </c>
      <c r="Y35" s="1237" t="s">
        <v>14</v>
      </c>
      <c r="Z35" s="1236" t="s">
        <v>37</v>
      </c>
      <c r="AA35" s="1236" t="s">
        <v>15</v>
      </c>
      <c r="AB35" s="1236" t="s">
        <v>14</v>
      </c>
      <c r="AC35" s="1235" t="s">
        <v>37</v>
      </c>
      <c r="AD35" s="1236" t="s">
        <v>15</v>
      </c>
      <c r="AE35" s="1237" t="s">
        <v>14</v>
      </c>
      <c r="AF35" s="1236" t="s">
        <v>37</v>
      </c>
      <c r="AG35" s="1236" t="s">
        <v>15</v>
      </c>
      <c r="AH35" s="1236" t="s">
        <v>14</v>
      </c>
      <c r="AI35" s="1235" t="s">
        <v>37</v>
      </c>
      <c r="AJ35" s="1236" t="s">
        <v>15</v>
      </c>
      <c r="AK35" s="1237" t="s">
        <v>14</v>
      </c>
      <c r="AL35" s="1236" t="s">
        <v>37</v>
      </c>
      <c r="AM35" s="1236" t="s">
        <v>15</v>
      </c>
      <c r="AN35" s="1237" t="s">
        <v>14</v>
      </c>
    </row>
    <row r="36" spans="2:83" ht="11.4" customHeight="1" x14ac:dyDescent="0.3">
      <c r="B36" s="1238"/>
      <c r="C36" s="1239" t="s">
        <v>258</v>
      </c>
      <c r="D36" s="1240" t="str">
        <f t="shared" ref="D36:D46" si="0">D8</f>
        <v>OSWALDO LOPEZ FONSECA</v>
      </c>
      <c r="E36" s="1241"/>
      <c r="F36" s="1242"/>
      <c r="G36" s="1243"/>
      <c r="H36" s="1244">
        <v>2600</v>
      </c>
      <c r="I36" s="1245">
        <v>45874</v>
      </c>
      <c r="J36" s="1246">
        <v>95945829</v>
      </c>
      <c r="K36" s="1244">
        <v>2600</v>
      </c>
      <c r="L36" s="1245">
        <v>45874</v>
      </c>
      <c r="M36" s="1246">
        <v>95945829</v>
      </c>
      <c r="N36" s="1244">
        <v>2600</v>
      </c>
      <c r="O36" s="1245">
        <v>45874</v>
      </c>
      <c r="P36" s="1246">
        <v>95945829</v>
      </c>
      <c r="Q36" s="1244">
        <v>2600</v>
      </c>
      <c r="R36" s="1245">
        <v>45997</v>
      </c>
      <c r="S36" s="1246">
        <v>4654</v>
      </c>
      <c r="T36" s="1244">
        <v>2600</v>
      </c>
      <c r="U36" s="1245">
        <v>45997</v>
      </c>
      <c r="V36" s="1246">
        <v>4654</v>
      </c>
      <c r="W36" s="1247"/>
      <c r="X36" s="1242"/>
      <c r="Y36" s="1243"/>
      <c r="Z36" s="1244">
        <v>2600</v>
      </c>
      <c r="AA36" s="1248">
        <v>46022</v>
      </c>
      <c r="AB36" s="1249" t="s">
        <v>72</v>
      </c>
      <c r="AC36" s="1244">
        <f>500+1500+600</f>
        <v>2600</v>
      </c>
      <c r="AD36" s="1248">
        <v>46125</v>
      </c>
      <c r="AE36" s="1246">
        <v>7410</v>
      </c>
      <c r="AF36" s="1244">
        <v>2600</v>
      </c>
      <c r="AG36" s="1248">
        <v>46167</v>
      </c>
      <c r="AH36" s="1249" t="s">
        <v>72</v>
      </c>
      <c r="AI36" s="1244">
        <v>800</v>
      </c>
      <c r="AJ36" s="1248">
        <v>46167</v>
      </c>
      <c r="AK36" s="1246" t="s">
        <v>72</v>
      </c>
      <c r="AL36" s="1244"/>
      <c r="AM36" s="1248"/>
      <c r="AN36" s="1246"/>
      <c r="AO36" s="1147">
        <f>2600-800</f>
        <v>1800</v>
      </c>
      <c r="AP36" s="1147" t="s">
        <v>802</v>
      </c>
    </row>
    <row r="37" spans="2:83" ht="11.4" customHeight="1" x14ac:dyDescent="0.3">
      <c r="B37" s="1250"/>
      <c r="C37" s="1179"/>
      <c r="D37" s="1181" t="str">
        <f t="shared" si="0"/>
        <v>CARLOS DANIEL TRUJILLO RODRIGUEZ</v>
      </c>
      <c r="E37" s="1251"/>
      <c r="F37" s="1199"/>
      <c r="G37" s="1252"/>
      <c r="H37" s="1253">
        <v>2686</v>
      </c>
      <c r="I37" s="1187">
        <v>45782</v>
      </c>
      <c r="J37" s="1254">
        <v>48922771</v>
      </c>
      <c r="K37" s="1253">
        <v>2686</v>
      </c>
      <c r="L37" s="1187">
        <v>45930</v>
      </c>
      <c r="M37" s="1254">
        <v>62348679</v>
      </c>
      <c r="N37" s="1253">
        <v>2686</v>
      </c>
      <c r="O37" s="1187">
        <v>45960</v>
      </c>
      <c r="P37" s="1254">
        <v>49834581</v>
      </c>
      <c r="Q37" s="1253">
        <v>2686</v>
      </c>
      <c r="R37" s="1187">
        <v>45993</v>
      </c>
      <c r="S37" s="1254">
        <v>77361689</v>
      </c>
      <c r="T37" s="1253">
        <v>2686</v>
      </c>
      <c r="U37" s="1187">
        <v>45999</v>
      </c>
      <c r="V37" s="1254">
        <v>89312066</v>
      </c>
      <c r="W37" s="1255"/>
      <c r="X37" s="1199"/>
      <c r="Y37" s="1252"/>
      <c r="Z37" s="1253">
        <v>2686</v>
      </c>
      <c r="AA37" s="1187">
        <v>46056</v>
      </c>
      <c r="AB37" s="1256">
        <v>57499353</v>
      </c>
      <c r="AC37" s="1253">
        <v>2686</v>
      </c>
      <c r="AD37" s="1187">
        <v>46086</v>
      </c>
      <c r="AE37" s="1254">
        <v>50648220</v>
      </c>
      <c r="AF37" s="1253">
        <v>2686</v>
      </c>
      <c r="AG37" s="1187">
        <v>46115</v>
      </c>
      <c r="AH37" s="1256">
        <v>26344497</v>
      </c>
      <c r="AI37" s="1253">
        <v>2686</v>
      </c>
      <c r="AJ37" s="1187">
        <v>46147</v>
      </c>
      <c r="AK37" s="1254">
        <v>25992592</v>
      </c>
      <c r="AL37" s="1253">
        <v>2686</v>
      </c>
      <c r="AM37" s="1187">
        <v>46179</v>
      </c>
      <c r="AN37" s="1254">
        <v>46351542</v>
      </c>
      <c r="AO37" s="1147" t="s">
        <v>822</v>
      </c>
    </row>
    <row r="38" spans="2:83" ht="11.4" customHeight="1" x14ac:dyDescent="0.3">
      <c r="B38" s="1250"/>
      <c r="C38" s="1179"/>
      <c r="D38" s="1181" t="str">
        <f t="shared" si="0"/>
        <v>CESAR BENHUR CASTAN OVANDO</v>
      </c>
      <c r="E38" s="1251"/>
      <c r="F38" s="1199"/>
      <c r="G38" s="1252"/>
      <c r="H38" s="1253">
        <v>2686</v>
      </c>
      <c r="I38" s="1187">
        <v>45904</v>
      </c>
      <c r="J38" s="1254">
        <v>58497120</v>
      </c>
      <c r="K38" s="1253">
        <v>2879</v>
      </c>
      <c r="L38" s="1187">
        <v>45930</v>
      </c>
      <c r="M38" s="1254">
        <v>8.5904615004327296E+16</v>
      </c>
      <c r="N38" s="1253">
        <v>2879</v>
      </c>
      <c r="O38" s="1187">
        <v>45960</v>
      </c>
      <c r="P38" s="1254">
        <v>84681</v>
      </c>
      <c r="Q38" s="1253">
        <v>2879</v>
      </c>
      <c r="R38" s="1187">
        <v>45979</v>
      </c>
      <c r="S38" s="1254">
        <v>84681</v>
      </c>
      <c r="T38" s="1253">
        <v>2879</v>
      </c>
      <c r="U38" s="1187">
        <v>46006</v>
      </c>
      <c r="V38" s="1254">
        <v>20612</v>
      </c>
      <c r="W38" s="1255"/>
      <c r="X38" s="1199"/>
      <c r="Y38" s="1252"/>
      <c r="Z38" s="1253">
        <v>2879</v>
      </c>
      <c r="AA38" s="1187">
        <v>46058</v>
      </c>
      <c r="AB38" s="1256">
        <v>89745631</v>
      </c>
      <c r="AC38" s="1253">
        <v>2879</v>
      </c>
      <c r="AD38" s="1187">
        <v>46086</v>
      </c>
      <c r="AE38" s="1254">
        <v>78452163</v>
      </c>
      <c r="AF38" s="1253">
        <v>2879</v>
      </c>
      <c r="AG38" s="1187">
        <v>46126</v>
      </c>
      <c r="AH38" s="1256">
        <v>85974631</v>
      </c>
      <c r="AI38" s="1253">
        <v>2879</v>
      </c>
      <c r="AJ38" s="1187">
        <v>45780</v>
      </c>
      <c r="AK38" s="1254">
        <v>312361</v>
      </c>
      <c r="AL38" s="1253">
        <v>2879</v>
      </c>
      <c r="AM38" s="1187">
        <v>46174</v>
      </c>
      <c r="AN38" s="1254" t="s">
        <v>741</v>
      </c>
      <c r="AO38" s="1147" t="s">
        <v>822</v>
      </c>
    </row>
    <row r="39" spans="2:83" ht="11.4" customHeight="1" x14ac:dyDescent="0.3">
      <c r="B39" s="1250"/>
      <c r="C39" s="1179"/>
      <c r="D39" s="1181" t="str">
        <f t="shared" si="0"/>
        <v>JONATHAN DE JESÚS SALINAS TOLEDO</v>
      </c>
      <c r="E39" s="1251"/>
      <c r="F39" s="1199"/>
      <c r="G39" s="1252"/>
      <c r="H39" s="1253">
        <v>2494.75</v>
      </c>
      <c r="I39" s="1187">
        <v>45900</v>
      </c>
      <c r="J39" s="1254">
        <v>300825</v>
      </c>
      <c r="K39" s="1253">
        <v>2494.75</v>
      </c>
      <c r="L39" s="1187">
        <v>45935</v>
      </c>
      <c r="M39" s="1254">
        <v>61025</v>
      </c>
      <c r="N39" s="1253">
        <v>2494.75</v>
      </c>
      <c r="O39" s="1187">
        <v>45965</v>
      </c>
      <c r="P39" s="1254">
        <v>1615258</v>
      </c>
      <c r="Q39" s="1253">
        <v>2496</v>
      </c>
      <c r="R39" s="1187">
        <v>46361</v>
      </c>
      <c r="S39" s="1254">
        <v>191152</v>
      </c>
      <c r="T39" s="1253">
        <v>2496</v>
      </c>
      <c r="U39" s="1187">
        <v>46041</v>
      </c>
      <c r="V39" s="1254">
        <v>28994436</v>
      </c>
      <c r="W39" s="1255"/>
      <c r="X39" s="1199"/>
      <c r="Y39" s="1252"/>
      <c r="Z39" s="1253">
        <v>2694.5</v>
      </c>
      <c r="AA39" s="1187">
        <v>46084</v>
      </c>
      <c r="AB39" s="1256" t="s">
        <v>503</v>
      </c>
      <c r="AC39" s="1253">
        <v>2694</v>
      </c>
      <c r="AD39" s="1187">
        <v>46135</v>
      </c>
      <c r="AE39" s="1254">
        <v>28677803</v>
      </c>
      <c r="AF39" s="1253">
        <v>2694</v>
      </c>
      <c r="AG39" s="1187">
        <v>46135</v>
      </c>
      <c r="AH39" s="1256">
        <v>28677803</v>
      </c>
      <c r="AI39" s="1253">
        <v>2694</v>
      </c>
      <c r="AJ39" s="1187">
        <v>46147</v>
      </c>
      <c r="AK39" s="1254">
        <v>88516315</v>
      </c>
      <c r="AL39" s="1253">
        <v>2694</v>
      </c>
      <c r="AM39" s="1187">
        <v>46178</v>
      </c>
      <c r="AN39" s="1254">
        <v>59924705</v>
      </c>
      <c r="AO39" s="1147" t="s">
        <v>823</v>
      </c>
    </row>
    <row r="40" spans="2:83" ht="11.4" customHeight="1" x14ac:dyDescent="0.3">
      <c r="B40" s="1250"/>
      <c r="C40" s="1257" t="s">
        <v>639</v>
      </c>
      <c r="D40" s="1240" t="str">
        <f t="shared" si="0"/>
        <v>NATHALIA ITZAÉ JIMÉNEZ CRUZ</v>
      </c>
      <c r="E40" s="1251"/>
      <c r="F40" s="1199"/>
      <c r="G40" s="1252"/>
      <c r="H40" s="1258">
        <v>2302</v>
      </c>
      <c r="I40" s="1187">
        <v>45906</v>
      </c>
      <c r="J40" s="1254">
        <v>1768637</v>
      </c>
      <c r="K40" s="1258">
        <v>2302</v>
      </c>
      <c r="L40" s="1187">
        <v>45906</v>
      </c>
      <c r="M40" s="1254">
        <v>89137465</v>
      </c>
      <c r="N40" s="1258">
        <v>2302</v>
      </c>
      <c r="O40" s="1187">
        <v>46055</v>
      </c>
      <c r="P40" s="1254" t="s">
        <v>501</v>
      </c>
      <c r="Q40" s="1258">
        <v>2302</v>
      </c>
      <c r="R40" s="1187">
        <v>46055</v>
      </c>
      <c r="S40" s="1254" t="s">
        <v>501</v>
      </c>
      <c r="T40" s="1258">
        <v>2302</v>
      </c>
      <c r="U40" s="1187">
        <v>46055</v>
      </c>
      <c r="V40" s="1254" t="s">
        <v>501</v>
      </c>
      <c r="W40" s="1251"/>
      <c r="X40" s="1199"/>
      <c r="Y40" s="1252"/>
      <c r="Z40" s="1258">
        <v>2302</v>
      </c>
      <c r="AA40" s="1187">
        <v>46055</v>
      </c>
      <c r="AB40" s="1254" t="s">
        <v>501</v>
      </c>
      <c r="AC40" s="1258">
        <v>2702</v>
      </c>
      <c r="AD40" s="1187">
        <v>46169</v>
      </c>
      <c r="AE40" s="1254" t="s">
        <v>720</v>
      </c>
      <c r="AF40" s="1258"/>
      <c r="AG40" s="1187"/>
      <c r="AH40" s="1254"/>
      <c r="AI40" s="1258">
        <v>2702</v>
      </c>
      <c r="AJ40" s="1187">
        <v>46155</v>
      </c>
      <c r="AK40" s="1254">
        <v>7098753</v>
      </c>
      <c r="AL40" s="1258"/>
      <c r="AM40" s="1187"/>
      <c r="AN40" s="1254"/>
    </row>
    <row r="41" spans="2:83" ht="11.4" customHeight="1" x14ac:dyDescent="0.3">
      <c r="B41" s="1250"/>
      <c r="C41" s="1179"/>
      <c r="D41" s="1259" t="str">
        <f t="shared" si="0"/>
        <v xml:space="preserve">JEAN CARLOS RICARDEZ VEGA </v>
      </c>
      <c r="E41" s="1253">
        <v>2399</v>
      </c>
      <c r="F41" s="1187">
        <v>45887</v>
      </c>
      <c r="G41" s="1260" t="s">
        <v>359</v>
      </c>
      <c r="H41" s="1253">
        <v>2399</v>
      </c>
      <c r="I41" s="1187">
        <v>45905</v>
      </c>
      <c r="J41" s="1254">
        <v>572893</v>
      </c>
      <c r="K41" s="1253">
        <v>2399</v>
      </c>
      <c r="L41" s="1187">
        <v>45938</v>
      </c>
      <c r="M41" s="1254">
        <v>859827</v>
      </c>
      <c r="N41" s="1253">
        <v>2399</v>
      </c>
      <c r="O41" s="1187">
        <v>45967</v>
      </c>
      <c r="P41" s="1254">
        <v>274544</v>
      </c>
      <c r="Q41" s="1253">
        <v>2399</v>
      </c>
      <c r="R41" s="1187">
        <v>45997</v>
      </c>
      <c r="S41" s="1256">
        <v>436129</v>
      </c>
      <c r="T41" s="1253">
        <v>2399</v>
      </c>
      <c r="U41" s="1187">
        <v>46027</v>
      </c>
      <c r="V41" s="1256">
        <v>77792</v>
      </c>
      <c r="W41" s="1253">
        <v>2399</v>
      </c>
      <c r="X41" s="1187" t="s">
        <v>476</v>
      </c>
      <c r="Y41" s="1254">
        <v>436129</v>
      </c>
      <c r="Z41" s="1253">
        <v>2399</v>
      </c>
      <c r="AA41" s="1187">
        <v>46055</v>
      </c>
      <c r="AB41" s="1256">
        <v>458714</v>
      </c>
      <c r="AC41" s="1253">
        <v>2399</v>
      </c>
      <c r="AD41" s="1187">
        <v>46087</v>
      </c>
      <c r="AE41" s="1254">
        <v>565064</v>
      </c>
      <c r="AF41" s="1253">
        <v>2399</v>
      </c>
      <c r="AG41" s="1187">
        <v>46120</v>
      </c>
      <c r="AH41" s="1256">
        <v>3380020</v>
      </c>
      <c r="AI41" s="1261" t="s">
        <v>524</v>
      </c>
      <c r="AJ41" s="1187">
        <v>46147</v>
      </c>
      <c r="AK41" s="1254">
        <v>504750</v>
      </c>
      <c r="AL41" s="1253">
        <v>2399</v>
      </c>
      <c r="AM41" s="1187">
        <v>46181</v>
      </c>
      <c r="AN41" s="1254">
        <v>43839199</v>
      </c>
      <c r="AO41" s="1262" t="s">
        <v>524</v>
      </c>
      <c r="AP41" s="1147" t="s">
        <v>823</v>
      </c>
    </row>
    <row r="42" spans="2:83" ht="11.4" customHeight="1" x14ac:dyDescent="0.3">
      <c r="B42" s="1250"/>
      <c r="C42" s="1179"/>
      <c r="D42" s="1181" t="str">
        <f t="shared" si="0"/>
        <v>DOMINIC GUSTAVO NIVON OROZCO</v>
      </c>
      <c r="E42" s="1255">
        <v>2559</v>
      </c>
      <c r="F42" s="1199">
        <v>46207</v>
      </c>
      <c r="G42" s="1263" t="s">
        <v>848</v>
      </c>
      <c r="H42" s="1253">
        <v>2559</v>
      </c>
      <c r="I42" s="1187">
        <v>45905</v>
      </c>
      <c r="J42" s="1254">
        <v>8.59080178243248E+16</v>
      </c>
      <c r="K42" s="1253">
        <v>2559</v>
      </c>
      <c r="L42" s="1187">
        <v>45933</v>
      </c>
      <c r="M42" s="1254">
        <v>8.59084542543276E+16</v>
      </c>
      <c r="N42" s="1253">
        <v>2559</v>
      </c>
      <c r="O42" s="1187">
        <v>45966</v>
      </c>
      <c r="P42" s="1254">
        <v>8.5903362234330704E+16</v>
      </c>
      <c r="Q42" s="1253">
        <v>2559</v>
      </c>
      <c r="R42" s="1187">
        <v>45997</v>
      </c>
      <c r="S42" s="1254">
        <v>8.5901018224334E+16</v>
      </c>
      <c r="T42" s="1253">
        <v>2559</v>
      </c>
      <c r="U42" s="1187">
        <v>46027</v>
      </c>
      <c r="V42" s="1254">
        <v>548976</v>
      </c>
      <c r="W42" s="1253">
        <v>2559</v>
      </c>
      <c r="X42" s="1187">
        <v>45997</v>
      </c>
      <c r="Y42" s="1264">
        <v>8.5901018224334E+16</v>
      </c>
      <c r="Z42" s="1253">
        <v>2559</v>
      </c>
      <c r="AA42" s="1187">
        <v>46057</v>
      </c>
      <c r="AB42" s="1256">
        <v>28918961</v>
      </c>
      <c r="AC42" s="1253">
        <v>2559</v>
      </c>
      <c r="AD42" s="1187">
        <v>46083</v>
      </c>
      <c r="AE42" s="1254">
        <v>820633</v>
      </c>
      <c r="AF42" s="1253">
        <v>2559</v>
      </c>
      <c r="AG42" s="1187">
        <v>46116</v>
      </c>
      <c r="AH42" s="1256">
        <v>63225954</v>
      </c>
      <c r="AI42" s="1253">
        <v>2559</v>
      </c>
      <c r="AJ42" s="1187">
        <v>46146</v>
      </c>
      <c r="AK42" s="1254">
        <v>8.59023920143124E+16</v>
      </c>
      <c r="AL42" s="1253">
        <v>2559</v>
      </c>
      <c r="AM42" s="1187">
        <v>46174</v>
      </c>
      <c r="AN42" s="1254">
        <v>315260</v>
      </c>
      <c r="AO42" s="1265" t="s">
        <v>822</v>
      </c>
    </row>
    <row r="43" spans="2:83" ht="11.4" customHeight="1" x14ac:dyDescent="0.3">
      <c r="B43" s="1250"/>
      <c r="C43" s="1179"/>
      <c r="D43" s="1259" t="str">
        <f t="shared" si="0"/>
        <v>LUIS MARIO HERNANDEZ VARGAS</v>
      </c>
      <c r="E43" s="1255"/>
      <c r="F43" s="1199"/>
      <c r="G43" s="1252"/>
      <c r="H43" s="1253">
        <v>2239</v>
      </c>
      <c r="I43" s="1187">
        <v>45912</v>
      </c>
      <c r="J43" s="1254">
        <v>4215190</v>
      </c>
      <c r="K43" s="1253">
        <v>2239.3000000000002</v>
      </c>
      <c r="L43" s="1187">
        <v>45935</v>
      </c>
      <c r="M43" s="1254">
        <v>281018</v>
      </c>
      <c r="N43" s="1253">
        <v>2559</v>
      </c>
      <c r="O43" s="1187">
        <v>45967</v>
      </c>
      <c r="P43" s="1254">
        <v>40741</v>
      </c>
      <c r="Q43" s="1253">
        <v>2239</v>
      </c>
      <c r="R43" s="1187">
        <v>46386</v>
      </c>
      <c r="S43" s="1254">
        <v>3332905</v>
      </c>
      <c r="T43" s="1253">
        <v>2239</v>
      </c>
      <c r="U43" s="1187">
        <v>46023</v>
      </c>
      <c r="V43" s="1254">
        <v>3332905</v>
      </c>
      <c r="W43" s="1253"/>
      <c r="X43" s="1187"/>
      <c r="Y43" s="1254"/>
      <c r="Z43" s="1253">
        <v>2239</v>
      </c>
      <c r="AA43" s="1187">
        <v>46067</v>
      </c>
      <c r="AB43" s="1256">
        <v>2345294</v>
      </c>
      <c r="AC43" s="1253">
        <v>2239</v>
      </c>
      <c r="AD43" s="1187">
        <v>46129</v>
      </c>
      <c r="AE43" s="1254">
        <v>5268183</v>
      </c>
      <c r="AF43" s="1253">
        <v>2239</v>
      </c>
      <c r="AG43" s="1187">
        <v>46129</v>
      </c>
      <c r="AH43" s="1256">
        <v>9900530</v>
      </c>
      <c r="AI43" s="1253">
        <v>2239.3000000000002</v>
      </c>
      <c r="AJ43" s="1187">
        <v>46170</v>
      </c>
      <c r="AK43" s="1254">
        <v>8365018</v>
      </c>
      <c r="AL43" s="1253">
        <v>2239.3000000000002</v>
      </c>
      <c r="AM43" s="1187">
        <v>46184</v>
      </c>
      <c r="AN43" s="1254">
        <v>4124157</v>
      </c>
    </row>
    <row r="44" spans="2:83" ht="11.4" customHeight="1" x14ac:dyDescent="0.3">
      <c r="B44" s="1250"/>
      <c r="C44" s="1179"/>
      <c r="D44" s="1181" t="str">
        <f t="shared" si="0"/>
        <v>ROMINA RODRIGUEZ PEREZ</v>
      </c>
      <c r="E44" s="1255"/>
      <c r="F44" s="1199"/>
      <c r="G44" s="1252"/>
      <c r="H44" s="1253">
        <v>2879</v>
      </c>
      <c r="I44" s="1187">
        <v>45915</v>
      </c>
      <c r="J44" s="1254">
        <v>71746458</v>
      </c>
      <c r="K44" s="1253">
        <v>2879</v>
      </c>
      <c r="L44" s="1187">
        <v>45945</v>
      </c>
      <c r="M44" s="1254">
        <v>8843465</v>
      </c>
      <c r="N44" s="1253">
        <v>2879</v>
      </c>
      <c r="O44" s="1187">
        <v>45960</v>
      </c>
      <c r="P44" s="1254">
        <v>12364113</v>
      </c>
      <c r="Q44" s="1253">
        <v>2879</v>
      </c>
      <c r="R44" s="1187">
        <v>46006</v>
      </c>
      <c r="S44" s="1254">
        <v>27548151</v>
      </c>
      <c r="T44" s="1253">
        <v>2879</v>
      </c>
      <c r="U44" s="1187">
        <v>46027</v>
      </c>
      <c r="V44" s="1256">
        <v>88740576</v>
      </c>
      <c r="W44" s="1255"/>
      <c r="X44" s="1199"/>
      <c r="Y44" s="1252"/>
      <c r="Z44" s="1253">
        <v>2879</v>
      </c>
      <c r="AA44" s="1187">
        <v>46057</v>
      </c>
      <c r="AB44" s="1256">
        <v>66470624</v>
      </c>
      <c r="AC44" s="1253">
        <v>2879</v>
      </c>
      <c r="AD44" s="1187">
        <v>46081</v>
      </c>
      <c r="AE44" s="1254">
        <v>54003840</v>
      </c>
      <c r="AF44" s="1253">
        <v>2879</v>
      </c>
      <c r="AG44" s="1187">
        <v>46127</v>
      </c>
      <c r="AH44" s="1256">
        <v>19864641</v>
      </c>
      <c r="AI44" s="1253">
        <v>3279</v>
      </c>
      <c r="AJ44" s="1187">
        <v>46155</v>
      </c>
      <c r="AK44" s="1254">
        <v>54638119</v>
      </c>
      <c r="AL44" s="1253">
        <v>3279</v>
      </c>
      <c r="AM44" s="1187">
        <v>46179</v>
      </c>
      <c r="AN44" s="1254">
        <v>7932841</v>
      </c>
      <c r="AO44" s="1147" t="s">
        <v>822</v>
      </c>
    </row>
    <row r="45" spans="2:83" ht="11.4" customHeight="1" x14ac:dyDescent="0.3">
      <c r="B45" s="1250"/>
      <c r="C45" s="1179"/>
      <c r="D45" s="1181" t="str">
        <f t="shared" si="0"/>
        <v>JOSE MIGUEL CRUZ LOPEZ</v>
      </c>
      <c r="E45" s="1379"/>
      <c r="F45" s="1380"/>
      <c r="G45" s="1381"/>
      <c r="H45" s="1253">
        <v>2687.6</v>
      </c>
      <c r="I45" s="1187">
        <v>45901</v>
      </c>
      <c r="J45" s="1254">
        <v>18569766</v>
      </c>
      <c r="K45" s="1253">
        <v>2687</v>
      </c>
      <c r="L45" s="1187">
        <v>45938</v>
      </c>
      <c r="M45" s="1254">
        <v>98547924</v>
      </c>
      <c r="N45" s="1253">
        <v>2394</v>
      </c>
      <c r="O45" s="1187">
        <v>45966</v>
      </c>
      <c r="P45" s="1254">
        <v>68654212</v>
      </c>
      <c r="Q45" s="1253">
        <v>2687.6</v>
      </c>
      <c r="R45" s="1187">
        <v>45996</v>
      </c>
      <c r="S45" s="1254">
        <v>16809912</v>
      </c>
      <c r="T45" s="1253">
        <v>2687.6</v>
      </c>
      <c r="U45" s="1187">
        <v>46022</v>
      </c>
      <c r="V45" s="1256">
        <v>53321648</v>
      </c>
      <c r="W45" s="1255"/>
      <c r="X45" s="1199"/>
      <c r="Y45" s="1252"/>
      <c r="Z45" s="1253">
        <v>2687.6</v>
      </c>
      <c r="AA45" s="1187">
        <v>46056</v>
      </c>
      <c r="AB45" s="1256">
        <v>72596916</v>
      </c>
      <c r="AC45" s="1253">
        <v>2687.6</v>
      </c>
      <c r="AD45" s="1187">
        <v>46084</v>
      </c>
      <c r="AE45" s="1254">
        <v>62176790</v>
      </c>
      <c r="AF45" s="1253">
        <v>2687.6</v>
      </c>
      <c r="AG45" s="1187">
        <v>46116</v>
      </c>
      <c r="AH45" s="1256">
        <v>40066842</v>
      </c>
      <c r="AI45" s="1253">
        <v>2687.6</v>
      </c>
      <c r="AJ45" s="1187">
        <v>46146</v>
      </c>
      <c r="AK45" s="1254">
        <v>39668816</v>
      </c>
      <c r="AL45" s="1253">
        <v>2687.6</v>
      </c>
      <c r="AM45" s="1187">
        <v>46177</v>
      </c>
      <c r="AN45" s="1254">
        <v>14061067</v>
      </c>
      <c r="AO45" s="1147" t="s">
        <v>822</v>
      </c>
    </row>
    <row r="46" spans="2:83" s="1272" customFormat="1" ht="11.4" customHeight="1" x14ac:dyDescent="0.3">
      <c r="B46" s="1266"/>
      <c r="C46" s="1203" t="s">
        <v>196</v>
      </c>
      <c r="D46" s="1181" t="str">
        <f t="shared" si="0"/>
        <v>INGRID PATRICIA GUZMAN SANTIAGO</v>
      </c>
      <c r="E46" s="1255"/>
      <c r="F46" s="1199"/>
      <c r="G46" s="1267"/>
      <c r="H46" s="1268">
        <v>2559</v>
      </c>
      <c r="I46" s="1187">
        <v>45891</v>
      </c>
      <c r="J46" s="1254">
        <v>570485</v>
      </c>
      <c r="K46" s="1268">
        <v>2559</v>
      </c>
      <c r="L46" s="1187">
        <v>45920</v>
      </c>
      <c r="M46" s="1254">
        <v>734775</v>
      </c>
      <c r="N46" s="1268">
        <v>2559</v>
      </c>
      <c r="O46" s="1187">
        <v>45979</v>
      </c>
      <c r="P46" s="1254">
        <v>63257132</v>
      </c>
      <c r="Q46" s="1268">
        <v>2559</v>
      </c>
      <c r="R46" s="1187">
        <v>45996</v>
      </c>
      <c r="S46" s="1254">
        <v>548799</v>
      </c>
      <c r="T46" s="1268">
        <v>2559</v>
      </c>
      <c r="U46" s="1187">
        <v>46025</v>
      </c>
      <c r="V46" s="1256">
        <v>80482146</v>
      </c>
      <c r="W46" s="1268">
        <v>2560</v>
      </c>
      <c r="X46" s="1187">
        <v>46003</v>
      </c>
      <c r="Y46" s="1254">
        <v>887949</v>
      </c>
      <c r="Z46" s="1253">
        <v>2559</v>
      </c>
      <c r="AA46" s="1187">
        <v>46057</v>
      </c>
      <c r="AB46" s="1256">
        <v>520333</v>
      </c>
      <c r="AC46" s="1253">
        <v>2559</v>
      </c>
      <c r="AD46" s="1187">
        <v>46086</v>
      </c>
      <c r="AE46" s="1254">
        <v>87963547</v>
      </c>
      <c r="AF46" s="1269">
        <v>2259</v>
      </c>
      <c r="AG46" s="1207">
        <v>46116</v>
      </c>
      <c r="AH46" s="1270">
        <v>32250109</v>
      </c>
      <c r="AI46" s="1271">
        <v>2259</v>
      </c>
      <c r="AJ46" s="1187">
        <v>46147</v>
      </c>
      <c r="AK46" s="1254">
        <v>72960374</v>
      </c>
      <c r="AL46" s="1253">
        <v>2559</v>
      </c>
      <c r="AM46" s="1187">
        <v>46177</v>
      </c>
      <c r="AN46" s="1254">
        <v>40970035</v>
      </c>
      <c r="AO46" s="1262" t="s">
        <v>624</v>
      </c>
      <c r="AP46" s="1147" t="s">
        <v>822</v>
      </c>
      <c r="AQ46" s="1147"/>
      <c r="AR46" s="1147"/>
      <c r="AS46" s="1147"/>
      <c r="AT46" s="1147"/>
      <c r="AU46" s="1147"/>
      <c r="AV46" s="1147"/>
      <c r="AW46" s="1147"/>
      <c r="AX46" s="1147"/>
      <c r="AY46" s="1147"/>
      <c r="AZ46" s="1147"/>
      <c r="BA46" s="1147"/>
      <c r="BB46" s="1147"/>
      <c r="BC46" s="1147"/>
      <c r="BD46" s="1147"/>
      <c r="BE46" s="1147"/>
      <c r="BF46" s="1147"/>
      <c r="BG46" s="1147"/>
      <c r="BH46" s="1147"/>
      <c r="BI46" s="1147"/>
      <c r="BJ46" s="1147"/>
      <c r="BK46" s="1147"/>
      <c r="BL46" s="1147"/>
      <c r="BM46" s="1147"/>
      <c r="BN46" s="1147"/>
      <c r="BO46" s="1147"/>
      <c r="BP46" s="1147"/>
      <c r="BQ46" s="1147"/>
      <c r="BR46" s="1147"/>
      <c r="BS46" s="1147"/>
      <c r="BT46" s="1147"/>
      <c r="BU46" s="1147"/>
      <c r="BV46" s="1147"/>
      <c r="BW46" s="1147"/>
      <c r="BX46" s="1147"/>
      <c r="BY46" s="1147"/>
      <c r="BZ46" s="1147"/>
      <c r="CA46" s="1147"/>
      <c r="CB46" s="1147"/>
      <c r="CC46" s="1147"/>
      <c r="CD46" s="1147"/>
      <c r="CE46" s="1147"/>
    </row>
    <row r="47" spans="2:83" ht="11.4" customHeight="1" x14ac:dyDescent="0.3">
      <c r="B47" s="1250"/>
      <c r="C47" s="1179"/>
      <c r="D47" s="1181" t="str">
        <f t="shared" ref="D47:D52" si="1">D19</f>
        <v>EMMA SOFIA DOMINGUEZ NIETO</v>
      </c>
      <c r="E47" s="1255"/>
      <c r="F47" s="1199"/>
      <c r="G47" s="1252"/>
      <c r="H47" s="1253">
        <v>2878</v>
      </c>
      <c r="I47" s="1187">
        <v>45903</v>
      </c>
      <c r="J47" s="1254">
        <v>34580363</v>
      </c>
      <c r="K47" s="1253">
        <v>2878</v>
      </c>
      <c r="L47" s="1187">
        <v>45932</v>
      </c>
      <c r="M47" s="1254">
        <v>21646416</v>
      </c>
      <c r="N47" s="1253">
        <v>2878</v>
      </c>
      <c r="O47" s="1187">
        <v>45965</v>
      </c>
      <c r="P47" s="1254">
        <v>37680345</v>
      </c>
      <c r="Q47" s="1253">
        <v>2878</v>
      </c>
      <c r="R47" s="1187">
        <v>45993</v>
      </c>
      <c r="S47" s="1254">
        <v>31484078</v>
      </c>
      <c r="T47" s="1253">
        <v>2878</v>
      </c>
      <c r="U47" s="1187">
        <v>46027</v>
      </c>
      <c r="V47" s="1256">
        <v>47813707</v>
      </c>
      <c r="W47" s="1255"/>
      <c r="X47" s="1199"/>
      <c r="Y47" s="1263"/>
      <c r="Z47" s="1273">
        <v>2878</v>
      </c>
      <c r="AA47" s="1187">
        <v>46056</v>
      </c>
      <c r="AB47" s="1256">
        <v>98814826</v>
      </c>
      <c r="AC47" s="1253">
        <v>2878</v>
      </c>
      <c r="AD47" s="1187">
        <v>46086</v>
      </c>
      <c r="AE47" s="1254">
        <v>37779636</v>
      </c>
      <c r="AF47" s="1253">
        <v>2878</v>
      </c>
      <c r="AG47" s="1187">
        <v>46119</v>
      </c>
      <c r="AH47" s="1256">
        <v>26035745</v>
      </c>
      <c r="AI47" s="1271">
        <v>2878</v>
      </c>
      <c r="AJ47" s="1207">
        <v>46126</v>
      </c>
      <c r="AK47" s="1254">
        <v>32504668</v>
      </c>
      <c r="AL47" s="1253">
        <v>2878</v>
      </c>
      <c r="AM47" s="1187">
        <v>46157</v>
      </c>
      <c r="AN47" s="1254">
        <v>40620357</v>
      </c>
      <c r="AO47" s="1147" t="s">
        <v>822</v>
      </c>
    </row>
    <row r="48" spans="2:83" ht="11.4" customHeight="1" x14ac:dyDescent="0.3">
      <c r="B48" s="1250"/>
      <c r="C48" s="1179"/>
      <c r="D48" s="1181" t="str">
        <f t="shared" si="1"/>
        <v>VALENTINA TOSCANO MOSQUEDA</v>
      </c>
      <c r="E48" s="1255"/>
      <c r="F48" s="1199"/>
      <c r="G48" s="1274"/>
      <c r="H48" s="1253">
        <v>2878</v>
      </c>
      <c r="I48" s="1187">
        <v>45935</v>
      </c>
      <c r="J48" s="1254" t="s">
        <v>454</v>
      </c>
      <c r="K48" s="1253">
        <v>2878</v>
      </c>
      <c r="L48" s="1187">
        <v>45952</v>
      </c>
      <c r="M48" s="1254" t="s">
        <v>454</v>
      </c>
      <c r="N48" s="1253">
        <v>3278</v>
      </c>
      <c r="O48" s="1187">
        <v>46001</v>
      </c>
      <c r="P48" s="1254" t="s">
        <v>454</v>
      </c>
      <c r="Q48" s="1253">
        <v>3278</v>
      </c>
      <c r="R48" s="1187">
        <v>46001</v>
      </c>
      <c r="S48" s="1254" t="s">
        <v>454</v>
      </c>
      <c r="T48" s="1253">
        <v>3278</v>
      </c>
      <c r="U48" s="1187">
        <v>46045</v>
      </c>
      <c r="V48" s="1256">
        <v>46976879</v>
      </c>
      <c r="W48" s="1255"/>
      <c r="X48" s="1199"/>
      <c r="Y48" s="1252"/>
      <c r="Z48" s="1253">
        <v>3278</v>
      </c>
      <c r="AA48" s="1187">
        <v>46045</v>
      </c>
      <c r="AB48" s="1256">
        <v>46976879</v>
      </c>
      <c r="AC48" s="1253">
        <v>3278</v>
      </c>
      <c r="AD48" s="1187">
        <v>46045</v>
      </c>
      <c r="AE48" s="1254">
        <v>46976879</v>
      </c>
      <c r="AF48" s="1253">
        <v>3278</v>
      </c>
      <c r="AG48" s="1187">
        <v>46045</v>
      </c>
      <c r="AH48" s="1256">
        <v>46976879</v>
      </c>
      <c r="AI48" s="1253">
        <v>3278</v>
      </c>
      <c r="AJ48" s="1187">
        <v>46045</v>
      </c>
      <c r="AK48" s="1254">
        <v>46976879</v>
      </c>
      <c r="AL48" s="1253">
        <v>3278</v>
      </c>
      <c r="AM48" s="1187">
        <v>46045</v>
      </c>
      <c r="AN48" s="1254">
        <v>46976879</v>
      </c>
      <c r="AO48" s="1147" t="s">
        <v>823</v>
      </c>
    </row>
    <row r="49" spans="2:41" ht="11.4" customHeight="1" x14ac:dyDescent="0.3">
      <c r="B49" s="1250"/>
      <c r="C49" s="1179"/>
      <c r="D49" s="1275" t="str">
        <f t="shared" si="1"/>
        <v>ANGEL DE JESUS ARRONIZ CALZADA</v>
      </c>
      <c r="E49" s="1253">
        <v>2783</v>
      </c>
      <c r="F49" s="1187">
        <v>45839</v>
      </c>
      <c r="G49" s="1256">
        <v>2324992</v>
      </c>
      <c r="H49" s="1253">
        <v>2983</v>
      </c>
      <c r="I49" s="1187">
        <v>45934</v>
      </c>
      <c r="J49" s="1256">
        <v>794564</v>
      </c>
      <c r="K49" s="1253">
        <v>3198</v>
      </c>
      <c r="L49" s="1187">
        <v>45939</v>
      </c>
      <c r="M49" s="1256">
        <v>80420511</v>
      </c>
      <c r="N49" s="1253">
        <v>3198</v>
      </c>
      <c r="O49" s="1187">
        <v>45966</v>
      </c>
      <c r="P49" s="1256">
        <v>74614286</v>
      </c>
      <c r="Q49" s="1253">
        <v>3198</v>
      </c>
      <c r="R49" s="1187">
        <v>45997</v>
      </c>
      <c r="S49" s="1256">
        <v>54869723</v>
      </c>
      <c r="T49" s="1253">
        <v>3198</v>
      </c>
      <c r="U49" s="1187">
        <v>46028</v>
      </c>
      <c r="V49" s="1256">
        <v>57102871</v>
      </c>
      <c r="W49" s="1255"/>
      <c r="X49" s="1199"/>
      <c r="Y49" s="1252"/>
      <c r="Z49" s="1253">
        <v>3198</v>
      </c>
      <c r="AA49" s="1187">
        <v>46064</v>
      </c>
      <c r="AB49" s="1256">
        <v>52382494</v>
      </c>
      <c r="AC49" s="1269">
        <v>3198</v>
      </c>
      <c r="AD49" s="1276">
        <v>46139</v>
      </c>
      <c r="AE49" s="1277">
        <v>959095</v>
      </c>
      <c r="AF49" s="1253">
        <v>3198</v>
      </c>
      <c r="AG49" s="1187">
        <v>46160</v>
      </c>
      <c r="AH49" s="1278">
        <v>36893</v>
      </c>
      <c r="AI49" s="1253">
        <v>3278</v>
      </c>
      <c r="AJ49" s="1187">
        <v>45817</v>
      </c>
      <c r="AK49" s="1254">
        <v>62721846</v>
      </c>
      <c r="AL49" s="1279"/>
      <c r="AM49" s="1187"/>
      <c r="AN49" s="1280" t="s">
        <v>803</v>
      </c>
    </row>
    <row r="50" spans="2:41" ht="11.4" customHeight="1" x14ac:dyDescent="0.3">
      <c r="B50" s="1250"/>
      <c r="C50" s="1179"/>
      <c r="D50" s="1240" t="str">
        <f t="shared" si="1"/>
        <v xml:space="preserve">ANDRES VEGA CAPORAL </v>
      </c>
      <c r="E50" s="1255"/>
      <c r="F50" s="1199"/>
      <c r="G50" s="1267"/>
      <c r="H50" s="1253">
        <v>2687</v>
      </c>
      <c r="I50" s="1187">
        <v>45934</v>
      </c>
      <c r="J50" s="1256">
        <v>13152586</v>
      </c>
      <c r="K50" s="1253">
        <v>2687</v>
      </c>
      <c r="L50" s="1187">
        <v>45939</v>
      </c>
      <c r="M50" s="1254" t="s">
        <v>72</v>
      </c>
      <c r="N50" s="1253">
        <v>2687</v>
      </c>
      <c r="O50" s="1187">
        <v>45965</v>
      </c>
      <c r="P50" s="1254">
        <v>85851424</v>
      </c>
      <c r="Q50" s="1253">
        <v>2687</v>
      </c>
      <c r="R50" s="1187">
        <v>46032</v>
      </c>
      <c r="S50" s="1256">
        <v>425274</v>
      </c>
      <c r="T50" s="1253">
        <v>2687</v>
      </c>
      <c r="U50" s="1187">
        <v>46081</v>
      </c>
      <c r="V50" s="1256">
        <v>66892</v>
      </c>
      <c r="W50" s="1255"/>
      <c r="X50" s="1199"/>
      <c r="Y50" s="1252"/>
      <c r="Z50" s="1253">
        <v>2687</v>
      </c>
      <c r="AA50" s="1187">
        <v>46085</v>
      </c>
      <c r="AB50" s="1256">
        <v>357852</v>
      </c>
      <c r="AC50" s="1253">
        <v>2687</v>
      </c>
      <c r="AD50" s="1187">
        <v>46124</v>
      </c>
      <c r="AE50" s="1254">
        <v>88225280</v>
      </c>
      <c r="AF50" s="1253">
        <v>3087</v>
      </c>
      <c r="AG50" s="1187">
        <v>46168</v>
      </c>
      <c r="AH50" s="1281">
        <v>188250</v>
      </c>
      <c r="AI50" s="1186">
        <v>3087</v>
      </c>
      <c r="AJ50" s="1187">
        <v>46168</v>
      </c>
      <c r="AK50" s="1188">
        <v>188250</v>
      </c>
      <c r="AL50" s="1282"/>
      <c r="AM50" s="1187"/>
      <c r="AN50" s="1254"/>
      <c r="AO50" s="1147" t="s">
        <v>823</v>
      </c>
    </row>
    <row r="51" spans="2:41" ht="11.4" customHeight="1" x14ac:dyDescent="0.3">
      <c r="B51" s="1283"/>
      <c r="C51" s="1214"/>
      <c r="D51" s="1259" t="str">
        <f t="shared" si="1"/>
        <v xml:space="preserve">MATIAS ALEJANDRO PEREZ REYES </v>
      </c>
      <c r="E51" s="1284"/>
      <c r="F51" s="1285"/>
      <c r="G51" s="1286"/>
      <c r="H51" s="1287">
        <v>2687</v>
      </c>
      <c r="I51" s="1219">
        <v>45919</v>
      </c>
      <c r="J51" s="1288">
        <v>9224609</v>
      </c>
      <c r="K51" s="1287">
        <v>2687</v>
      </c>
      <c r="L51" s="1219">
        <v>45951</v>
      </c>
      <c r="M51" s="1289">
        <v>590065667</v>
      </c>
      <c r="N51" s="1287">
        <v>2687</v>
      </c>
      <c r="O51" s="1219">
        <v>45966</v>
      </c>
      <c r="P51" s="1289">
        <v>4877003</v>
      </c>
      <c r="Q51" s="1287">
        <v>2687</v>
      </c>
      <c r="R51" s="1219">
        <v>46010</v>
      </c>
      <c r="S51" s="1288">
        <v>78056577</v>
      </c>
      <c r="T51" s="1287">
        <v>2687</v>
      </c>
      <c r="U51" s="1219">
        <v>46027</v>
      </c>
      <c r="V51" s="1288">
        <v>58799632</v>
      </c>
      <c r="W51" s="1284"/>
      <c r="X51" s="1285"/>
      <c r="Y51" s="1290"/>
      <c r="Z51" s="1287">
        <v>2687</v>
      </c>
      <c r="AA51" s="1219">
        <v>46062</v>
      </c>
      <c r="AB51" s="1288">
        <v>16066028</v>
      </c>
      <c r="AC51" s="1287">
        <v>2687</v>
      </c>
      <c r="AD51" s="1219">
        <v>46084</v>
      </c>
      <c r="AE51" s="1289">
        <v>82784126</v>
      </c>
      <c r="AF51" s="1287">
        <v>2687</v>
      </c>
      <c r="AG51" s="1219">
        <v>46136</v>
      </c>
      <c r="AH51" s="1288">
        <v>75067131</v>
      </c>
      <c r="AI51" s="1287">
        <v>2687</v>
      </c>
      <c r="AJ51" s="1219">
        <v>46146</v>
      </c>
      <c r="AK51" s="1289">
        <v>61751876</v>
      </c>
      <c r="AL51" s="1287">
        <v>2687</v>
      </c>
      <c r="AM51" s="1187">
        <v>46183</v>
      </c>
      <c r="AN51" s="1254">
        <v>71456732</v>
      </c>
      <c r="AO51" s="1147" t="s">
        <v>822</v>
      </c>
    </row>
    <row r="52" spans="2:41" ht="11.4" customHeight="1" x14ac:dyDescent="0.3">
      <c r="B52" s="1283"/>
      <c r="C52" s="1214"/>
      <c r="D52" s="1181" t="str">
        <f t="shared" si="1"/>
        <v>JARED ALEXANDER FUENTES TORRRES</v>
      </c>
      <c r="E52" s="1284"/>
      <c r="F52" s="1285"/>
      <c r="G52" s="1286"/>
      <c r="H52" s="1287">
        <v>2686</v>
      </c>
      <c r="I52" s="1219">
        <v>45897</v>
      </c>
      <c r="J52" s="1288">
        <v>250828</v>
      </c>
      <c r="K52" s="1287">
        <v>3386</v>
      </c>
      <c r="L52" s="1219">
        <v>45947</v>
      </c>
      <c r="M52" s="1289">
        <v>251017</v>
      </c>
      <c r="N52" s="1287">
        <v>2686</v>
      </c>
      <c r="O52" s="1219">
        <v>45966</v>
      </c>
      <c r="P52" s="1289">
        <v>251105</v>
      </c>
      <c r="Q52" s="1287">
        <v>2686</v>
      </c>
      <c r="R52" s="1219">
        <v>46361</v>
      </c>
      <c r="S52" s="1288">
        <v>251205</v>
      </c>
      <c r="T52" s="1287">
        <v>2686</v>
      </c>
      <c r="U52" s="1219">
        <v>46027</v>
      </c>
      <c r="V52" s="1288">
        <v>260105</v>
      </c>
      <c r="W52" s="1284"/>
      <c r="X52" s="1285"/>
      <c r="Y52" s="1290"/>
      <c r="Z52" s="1287">
        <v>2686</v>
      </c>
      <c r="AA52" s="1219">
        <v>46058</v>
      </c>
      <c r="AB52" s="1288">
        <v>260205</v>
      </c>
      <c r="AC52" s="1287">
        <v>2686</v>
      </c>
      <c r="AD52" s="1219">
        <v>46086</v>
      </c>
      <c r="AE52" s="1289">
        <v>260305</v>
      </c>
      <c r="AF52" s="1287">
        <v>2686</v>
      </c>
      <c r="AG52" s="1219">
        <v>46117</v>
      </c>
      <c r="AH52" s="1288">
        <v>260405</v>
      </c>
      <c r="AI52" s="1287">
        <v>2686</v>
      </c>
      <c r="AJ52" s="1219">
        <v>46127</v>
      </c>
      <c r="AK52" s="1289">
        <v>260415</v>
      </c>
      <c r="AL52" s="1287">
        <v>2686</v>
      </c>
      <c r="AM52" s="1219">
        <v>46178</v>
      </c>
      <c r="AN52" s="1289">
        <v>261285</v>
      </c>
      <c r="AO52" s="1147" t="s">
        <v>823</v>
      </c>
    </row>
    <row r="53" spans="2:41" ht="11.4" customHeight="1" x14ac:dyDescent="0.3">
      <c r="B53" s="1283"/>
      <c r="C53" s="1291"/>
      <c r="D53" s="1292" t="s">
        <v>464</v>
      </c>
      <c r="E53" s="1284"/>
      <c r="F53" s="1285"/>
      <c r="G53" s="1286"/>
      <c r="H53" s="1284"/>
      <c r="I53" s="1285"/>
      <c r="J53" s="1286"/>
      <c r="K53" s="1284"/>
      <c r="L53" s="1285"/>
      <c r="M53" s="1290"/>
      <c r="N53" s="1287">
        <v>2399</v>
      </c>
      <c r="O53" s="1219">
        <v>45967</v>
      </c>
      <c r="P53" s="1289">
        <v>21702454</v>
      </c>
      <c r="Q53" s="1287">
        <v>2399</v>
      </c>
      <c r="R53" s="1219">
        <v>46002</v>
      </c>
      <c r="S53" s="1288">
        <v>98758190</v>
      </c>
      <c r="T53" s="1287">
        <v>2399</v>
      </c>
      <c r="U53" s="1219">
        <v>46027</v>
      </c>
      <c r="V53" s="1288">
        <v>28269095</v>
      </c>
      <c r="W53" s="1284"/>
      <c r="X53" s="1285"/>
      <c r="Y53" s="1290"/>
      <c r="Z53" s="1287">
        <v>2399</v>
      </c>
      <c r="AA53" s="1219">
        <v>46061</v>
      </c>
      <c r="AB53" s="1288">
        <v>39269270</v>
      </c>
      <c r="AC53" s="1287">
        <v>2399</v>
      </c>
      <c r="AD53" s="1219">
        <v>46086</v>
      </c>
      <c r="AE53" s="1289">
        <v>36124016</v>
      </c>
      <c r="AF53" s="1293">
        <v>2399</v>
      </c>
      <c r="AG53" s="1294">
        <v>46120</v>
      </c>
      <c r="AH53" s="1295">
        <v>45151633</v>
      </c>
      <c r="AI53" s="1293">
        <v>2399</v>
      </c>
      <c r="AJ53" s="1294">
        <v>45785</v>
      </c>
      <c r="AK53" s="1289">
        <v>91036564</v>
      </c>
      <c r="AL53" s="1287">
        <v>2400</v>
      </c>
      <c r="AM53" s="1219" t="s">
        <v>812</v>
      </c>
      <c r="AN53" s="1289"/>
    </row>
    <row r="54" spans="2:41" ht="11.4" customHeight="1" x14ac:dyDescent="0.3">
      <c r="B54" s="1283"/>
      <c r="C54" s="1214"/>
      <c r="D54" s="1296" t="s">
        <v>491</v>
      </c>
      <c r="E54" s="1297"/>
      <c r="F54" s="1298"/>
      <c r="G54" s="1299"/>
      <c r="H54" s="1297"/>
      <c r="I54" s="1298"/>
      <c r="J54" s="1299"/>
      <c r="K54" s="1297"/>
      <c r="L54" s="1298"/>
      <c r="M54" s="1300"/>
      <c r="N54" s="1297"/>
      <c r="O54" s="1298"/>
      <c r="P54" s="1300"/>
      <c r="Q54" s="1297"/>
      <c r="R54" s="1298"/>
      <c r="S54" s="1299"/>
      <c r="T54" s="1297"/>
      <c r="U54" s="1298"/>
      <c r="V54" s="1299"/>
      <c r="W54" s="1284"/>
      <c r="X54" s="1285"/>
      <c r="Y54" s="1290"/>
      <c r="Z54" s="1287">
        <v>2559</v>
      </c>
      <c r="AA54" s="1219">
        <v>46055</v>
      </c>
      <c r="AB54" s="1288">
        <v>115101153</v>
      </c>
      <c r="AC54" s="1287">
        <v>2559</v>
      </c>
      <c r="AD54" s="1219">
        <v>46092</v>
      </c>
      <c r="AE54" s="1289">
        <v>19129566</v>
      </c>
      <c r="AF54" s="1287">
        <v>2559</v>
      </c>
      <c r="AG54" s="1219">
        <v>46128</v>
      </c>
      <c r="AH54" s="1288">
        <v>38991139</v>
      </c>
      <c r="AI54" s="1287">
        <v>2959</v>
      </c>
      <c r="AJ54" s="1219">
        <v>46162</v>
      </c>
      <c r="AK54" s="1289">
        <v>53344741</v>
      </c>
      <c r="AL54" s="1287">
        <v>2559</v>
      </c>
      <c r="AM54" s="1219">
        <v>46178</v>
      </c>
      <c r="AN54" s="1289">
        <v>28926676</v>
      </c>
      <c r="AO54" s="1147" t="s">
        <v>819</v>
      </c>
    </row>
    <row r="55" spans="2:41" ht="11.4" customHeight="1" x14ac:dyDescent="0.3">
      <c r="B55" s="1283"/>
      <c r="C55" s="1214"/>
      <c r="D55" s="1296" t="s">
        <v>516</v>
      </c>
      <c r="E55" s="1287"/>
      <c r="F55" s="1219"/>
      <c r="G55" s="1288"/>
      <c r="H55" s="1287"/>
      <c r="I55" s="1219"/>
      <c r="J55" s="1288"/>
      <c r="K55" s="1287"/>
      <c r="L55" s="1219"/>
      <c r="M55" s="1289"/>
      <c r="N55" s="1287"/>
      <c r="O55" s="1219"/>
      <c r="P55" s="1289"/>
      <c r="Q55" s="1287"/>
      <c r="R55" s="1219"/>
      <c r="S55" s="1288"/>
      <c r="T55" s="1287"/>
      <c r="U55" s="1219"/>
      <c r="V55" s="1288"/>
      <c r="W55" s="1287"/>
      <c r="X55" s="1219"/>
      <c r="Y55" s="1289"/>
      <c r="Z55" s="1287"/>
      <c r="AA55" s="1219"/>
      <c r="AB55" s="1288"/>
      <c r="AC55" s="1287"/>
      <c r="AD55" s="1219"/>
      <c r="AE55" s="1289"/>
      <c r="AF55" s="1287"/>
      <c r="AG55" s="1219"/>
      <c r="AH55" s="1288"/>
      <c r="AI55" s="1287"/>
      <c r="AJ55" s="1219"/>
      <c r="AK55" s="1289"/>
      <c r="AL55" s="1287"/>
      <c r="AM55" s="1219"/>
      <c r="AN55" s="1289"/>
    </row>
    <row r="56" spans="2:41" ht="11.4" customHeight="1" thickBot="1" x14ac:dyDescent="0.35">
      <c r="B56" s="1301"/>
      <c r="C56" s="1223"/>
      <c r="D56" s="1302"/>
      <c r="E56" s="1303"/>
      <c r="F56" s="1228"/>
      <c r="G56" s="1304"/>
      <c r="H56" s="1303"/>
      <c r="I56" s="1228"/>
      <c r="J56" s="1305"/>
      <c r="K56" s="1303"/>
      <c r="L56" s="1228"/>
      <c r="M56" s="1305"/>
      <c r="N56" s="1303"/>
      <c r="O56" s="1228"/>
      <c r="P56" s="1305"/>
      <c r="Q56" s="1303"/>
      <c r="R56" s="1228"/>
      <c r="S56" s="1304"/>
      <c r="T56" s="1303"/>
      <c r="U56" s="1228"/>
      <c r="V56" s="1305"/>
      <c r="W56" s="1303"/>
      <c r="X56" s="1228"/>
      <c r="Y56" s="1305"/>
      <c r="Z56" s="1303"/>
      <c r="AA56" s="1228"/>
      <c r="AB56" s="1304"/>
      <c r="AC56" s="1303"/>
      <c r="AD56" s="1228"/>
      <c r="AE56" s="1305"/>
      <c r="AF56" s="1303"/>
      <c r="AG56" s="1228"/>
      <c r="AH56" s="1304"/>
      <c r="AI56" s="1303"/>
      <c r="AJ56" s="1228"/>
      <c r="AK56" s="1305"/>
      <c r="AL56" s="1303"/>
      <c r="AM56" s="1228"/>
      <c r="AN56" s="1305"/>
    </row>
    <row r="58" spans="2:41" ht="11.4" customHeight="1" x14ac:dyDescent="0.3">
      <c r="AC58" s="1306"/>
      <c r="AD58" s="1306"/>
    </row>
  </sheetData>
  <mergeCells count="22">
    <mergeCell ref="E45:G45"/>
    <mergeCell ref="F4:Q4"/>
    <mergeCell ref="S4:U4"/>
    <mergeCell ref="F1:Q1"/>
    <mergeCell ref="S1:U1"/>
    <mergeCell ref="F2:Q2"/>
    <mergeCell ref="S2:U2"/>
    <mergeCell ref="F3:Q3"/>
    <mergeCell ref="S3:U3"/>
    <mergeCell ref="B33:AN33"/>
    <mergeCell ref="E34:G34"/>
    <mergeCell ref="H34:J34"/>
    <mergeCell ref="K34:M34"/>
    <mergeCell ref="N34:P34"/>
    <mergeCell ref="Q34:S34"/>
    <mergeCell ref="T34:V34"/>
    <mergeCell ref="AL34:AN34"/>
    <mergeCell ref="W34:Y34"/>
    <mergeCell ref="Z34:AB34"/>
    <mergeCell ref="AC34:AE34"/>
    <mergeCell ref="AF34:AH34"/>
    <mergeCell ref="AI34:AK34"/>
  </mergeCells>
  <conditionalFormatting sqref="E36:AN44 E45 H45:AN45 E46:AN56">
    <cfRule type="notContainsBlanks" dxfId="26" priority="8">
      <formula>LEN(TRIM(E36))&gt;0</formula>
    </cfRule>
  </conditionalFormatting>
  <conditionalFormatting sqref="F15:Q15 S15:T15 F16:T17 I18:T18 F19:T28">
    <cfRule type="notContainsBlanks" dxfId="25" priority="7">
      <formula>LEN(TRIM(F15))&gt;0</formula>
    </cfRule>
  </conditionalFormatting>
  <conditionalFormatting sqref="F8:T14">
    <cfRule type="notContainsBlanks" dxfId="24" priority="1">
      <formula>LEN(TRIM(F8))&gt;0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70"/>
  <sheetViews>
    <sheetView topLeftCell="C1" zoomScale="110" zoomScaleNormal="110" workbookViewId="0">
      <pane xSplit="2" ySplit="1" topLeftCell="L36" activePane="bottomRight" state="frozen"/>
      <selection activeCell="C1" sqref="C1"/>
      <selection pane="topRight" activeCell="E1" sqref="E1"/>
      <selection pane="bottomLeft" activeCell="C2" sqref="C2"/>
      <selection pane="bottomRight" activeCell="C44" sqref="A44:XFD44"/>
    </sheetView>
  </sheetViews>
  <sheetFormatPr baseColWidth="10" defaultColWidth="11.44140625" defaultRowHeight="12" x14ac:dyDescent="0.25"/>
  <cols>
    <col min="1" max="1" width="13.77734375" style="439" bestFit="1" customWidth="1"/>
    <col min="2" max="2" width="29.6640625" style="439" bestFit="1" customWidth="1"/>
    <col min="3" max="3" width="25.109375" style="439" customWidth="1"/>
    <col min="4" max="4" width="40.6640625" style="439" customWidth="1"/>
    <col min="5" max="5" width="13.77734375" style="439" customWidth="1"/>
    <col min="6" max="6" width="12" style="439" customWidth="1"/>
    <col min="7" max="7" width="19.88671875" style="439" customWidth="1"/>
    <col min="8" max="8" width="14.109375" style="439" customWidth="1"/>
    <col min="9" max="9" width="12.33203125" style="439" customWidth="1"/>
    <col min="10" max="10" width="18.109375" style="439" customWidth="1"/>
    <col min="11" max="11" width="13.109375" style="439" customWidth="1"/>
    <col min="12" max="12" width="13.44140625" style="439" customWidth="1"/>
    <col min="13" max="13" width="18.109375" style="439" customWidth="1"/>
    <col min="14" max="14" width="13.21875" style="439" customWidth="1"/>
    <col min="15" max="15" width="11.5546875" style="439" customWidth="1"/>
    <col min="16" max="16" width="18.109375" style="439" customWidth="1"/>
    <col min="17" max="17" width="16.44140625" style="439" customWidth="1"/>
    <col min="18" max="18" width="18.109375" style="439" customWidth="1"/>
    <col min="19" max="19" width="21.44140625" style="439" customWidth="1"/>
    <col min="20" max="20" width="10.5546875" style="439" bestFit="1" customWidth="1"/>
    <col min="21" max="21" width="11.88671875" style="439" bestFit="1" customWidth="1"/>
    <col min="22" max="22" width="21.44140625" style="439" bestFit="1" customWidth="1"/>
    <col min="23" max="24" width="11.5546875" style="439" customWidth="1"/>
    <col min="25" max="25" width="9.21875" style="439" customWidth="1"/>
    <col min="26" max="26" width="10.5546875" style="439" bestFit="1" customWidth="1"/>
    <col min="27" max="27" width="10.33203125" style="439" bestFit="1" customWidth="1"/>
    <col min="28" max="28" width="22.77734375" style="439" customWidth="1"/>
    <col min="29" max="29" width="10.5546875" style="439" bestFit="1" customWidth="1"/>
    <col min="30" max="30" width="10.33203125" style="439" bestFit="1" customWidth="1"/>
    <col min="31" max="31" width="21.44140625" style="439" bestFit="1" customWidth="1"/>
    <col min="32" max="32" width="11.6640625" style="439" bestFit="1" customWidth="1"/>
    <col min="33" max="33" width="10.33203125" style="439" bestFit="1" customWidth="1"/>
    <col min="34" max="34" width="29.33203125" style="439" customWidth="1"/>
    <col min="35" max="35" width="10.5546875" style="439" bestFit="1" customWidth="1"/>
    <col min="36" max="36" width="10.77734375" style="439" bestFit="1" customWidth="1"/>
    <col min="37" max="37" width="22.6640625" style="439" customWidth="1"/>
    <col min="38" max="38" width="10.5546875" style="439" bestFit="1" customWidth="1"/>
    <col min="39" max="39" width="10.6640625" style="439" bestFit="1" customWidth="1"/>
    <col min="40" max="40" width="12.77734375" style="439" customWidth="1"/>
    <col min="41" max="16384" width="11.44140625" style="439"/>
  </cols>
  <sheetData>
    <row r="1" spans="1:24" ht="12.6" thickBot="1" x14ac:dyDescent="0.3">
      <c r="E1" s="440"/>
      <c r="F1" s="1403" t="s">
        <v>0</v>
      </c>
      <c r="G1" s="1403"/>
      <c r="H1" s="1403"/>
      <c r="I1" s="1403"/>
      <c r="J1" s="1403"/>
      <c r="K1" s="1403"/>
      <c r="L1" s="1403"/>
      <c r="M1" s="1403"/>
      <c r="N1" s="1403"/>
      <c r="O1" s="1403"/>
      <c r="P1" s="1403"/>
      <c r="Q1" s="1403"/>
      <c r="R1" s="441"/>
      <c r="S1" s="1393" t="s">
        <v>1</v>
      </c>
      <c r="T1" s="1393"/>
      <c r="U1" s="1394"/>
    </row>
    <row r="2" spans="1:24" ht="12.6" thickBot="1" x14ac:dyDescent="0.3">
      <c r="E2" s="442"/>
      <c r="F2" s="1404" t="s">
        <v>2</v>
      </c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443"/>
      <c r="S2" s="1393" t="s">
        <v>3</v>
      </c>
      <c r="T2" s="1393"/>
      <c r="U2" s="1394"/>
    </row>
    <row r="3" spans="1:24" ht="12.6" thickBot="1" x14ac:dyDescent="0.3">
      <c r="E3" s="444"/>
      <c r="F3" s="1392" t="s">
        <v>4</v>
      </c>
      <c r="G3" s="1392"/>
      <c r="H3" s="1392"/>
      <c r="I3" s="1392"/>
      <c r="J3" s="1392"/>
      <c r="K3" s="1392"/>
      <c r="L3" s="1392"/>
      <c r="M3" s="1392"/>
      <c r="N3" s="1392"/>
      <c r="O3" s="1392"/>
      <c r="P3" s="1392"/>
      <c r="Q3" s="1392"/>
      <c r="R3" s="445"/>
      <c r="S3" s="1393" t="s">
        <v>5</v>
      </c>
      <c r="T3" s="1393"/>
      <c r="U3" s="1394"/>
    </row>
    <row r="4" spans="1:24" ht="12.6" thickBot="1" x14ac:dyDescent="0.3">
      <c r="C4" s="446"/>
      <c r="D4" s="9" t="s">
        <v>6</v>
      </c>
      <c r="F4" s="1392" t="s">
        <v>39</v>
      </c>
      <c r="G4" s="1392"/>
      <c r="H4" s="1392"/>
      <c r="I4" s="1392"/>
      <c r="J4" s="1392"/>
      <c r="K4" s="1392"/>
      <c r="L4" s="1392"/>
      <c r="M4" s="1392"/>
      <c r="N4" s="1392"/>
      <c r="O4" s="1392"/>
      <c r="P4" s="1392"/>
      <c r="Q4" s="1392"/>
      <c r="R4" s="447"/>
      <c r="S4" s="1393" t="s">
        <v>7</v>
      </c>
      <c r="T4" s="1393"/>
      <c r="U4" s="1394"/>
    </row>
    <row r="6" spans="1:24" ht="12.6" thickBot="1" x14ac:dyDescent="0.3"/>
    <row r="7" spans="1:24" ht="12.6" thickBot="1" x14ac:dyDescent="0.3">
      <c r="B7" s="10" t="s">
        <v>9</v>
      </c>
      <c r="C7" s="11" t="s">
        <v>10</v>
      </c>
      <c r="D7" s="448" t="s">
        <v>11</v>
      </c>
      <c r="E7" s="14" t="s">
        <v>12</v>
      </c>
      <c r="F7" s="15" t="s">
        <v>13</v>
      </c>
      <c r="G7" s="15" t="s">
        <v>14</v>
      </c>
      <c r="H7" s="16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449" t="s">
        <v>20</v>
      </c>
      <c r="V7" s="450" t="s">
        <v>21</v>
      </c>
      <c r="W7" s="451" t="s">
        <v>22</v>
      </c>
      <c r="X7" s="451" t="s">
        <v>38</v>
      </c>
    </row>
    <row r="8" spans="1:24" s="749" customFormat="1" ht="18.600000000000001" customHeight="1" x14ac:dyDescent="0.3">
      <c r="A8" s="197" t="s">
        <v>149</v>
      </c>
      <c r="B8" s="286"/>
      <c r="C8" s="138" t="s">
        <v>193</v>
      </c>
      <c r="D8" s="738" t="s">
        <v>75</v>
      </c>
      <c r="E8" s="739" t="s">
        <v>54</v>
      </c>
      <c r="F8" s="740">
        <v>1550</v>
      </c>
      <c r="G8" s="741">
        <v>287318</v>
      </c>
      <c r="H8" s="742">
        <v>45657</v>
      </c>
      <c r="I8" s="743">
        <v>2690</v>
      </c>
      <c r="J8" s="744">
        <v>45889</v>
      </c>
      <c r="K8" s="460">
        <v>164200</v>
      </c>
      <c r="L8" s="458"/>
      <c r="M8" s="459"/>
      <c r="N8" s="460"/>
      <c r="O8" s="743">
        <v>5900</v>
      </c>
      <c r="P8" s="744">
        <v>45900</v>
      </c>
      <c r="Q8" s="745">
        <v>310825</v>
      </c>
      <c r="R8" s="743"/>
      <c r="S8" s="744"/>
      <c r="T8" s="745"/>
      <c r="U8" s="138" t="s">
        <v>23</v>
      </c>
      <c r="V8" s="746">
        <v>0.3</v>
      </c>
      <c r="W8" s="747">
        <v>3838</v>
      </c>
      <c r="X8" s="748">
        <v>2686</v>
      </c>
    </row>
    <row r="9" spans="1:24" s="465" customFormat="1" ht="15.6" customHeight="1" x14ac:dyDescent="0.3">
      <c r="A9" s="197" t="s">
        <v>154</v>
      </c>
      <c r="B9" s="286"/>
      <c r="C9" s="750" t="s">
        <v>88</v>
      </c>
      <c r="D9" s="738" t="s">
        <v>86</v>
      </c>
      <c r="E9" s="454" t="s">
        <v>87</v>
      </c>
      <c r="F9" s="740">
        <v>1550</v>
      </c>
      <c r="G9" s="741">
        <v>3910305</v>
      </c>
      <c r="H9" s="742">
        <v>45694</v>
      </c>
      <c r="I9" s="743">
        <v>2690</v>
      </c>
      <c r="J9" s="744">
        <v>45694</v>
      </c>
      <c r="K9" s="460" t="s">
        <v>90</v>
      </c>
      <c r="L9" s="458">
        <v>1992</v>
      </c>
      <c r="M9" s="459">
        <v>45695</v>
      </c>
      <c r="N9" s="472" t="s">
        <v>90</v>
      </c>
      <c r="O9" s="743"/>
      <c r="P9" s="744"/>
      <c r="Q9" s="745"/>
      <c r="R9" s="743"/>
      <c r="S9" s="744"/>
      <c r="T9" s="745"/>
      <c r="U9" s="138" t="s">
        <v>23</v>
      </c>
      <c r="V9" s="746">
        <v>0.25</v>
      </c>
      <c r="W9" s="747">
        <v>3838</v>
      </c>
      <c r="X9" s="748">
        <v>2686</v>
      </c>
    </row>
    <row r="10" spans="1:24" s="465" customFormat="1" ht="13.2" x14ac:dyDescent="0.3">
      <c r="A10" s="197" t="s">
        <v>337</v>
      </c>
      <c r="B10" s="286" t="s">
        <v>338</v>
      </c>
      <c r="C10" s="138" t="s">
        <v>77</v>
      </c>
      <c r="D10" s="453" t="s">
        <v>336</v>
      </c>
      <c r="E10" s="454" t="s">
        <v>195</v>
      </c>
      <c r="F10" s="740" t="s">
        <v>66</v>
      </c>
      <c r="G10" s="709" t="s">
        <v>66</v>
      </c>
      <c r="H10" s="742">
        <v>45877</v>
      </c>
      <c r="I10" s="743">
        <v>2690</v>
      </c>
      <c r="J10" s="744">
        <v>45803</v>
      </c>
      <c r="K10" s="460">
        <v>67848127</v>
      </c>
      <c r="L10" s="458">
        <v>2490</v>
      </c>
      <c r="M10" s="459">
        <v>45877</v>
      </c>
      <c r="N10" s="460" t="s">
        <v>92</v>
      </c>
      <c r="O10" s="743">
        <v>5500</v>
      </c>
      <c r="P10" s="744">
        <v>45877</v>
      </c>
      <c r="Q10" s="745">
        <v>65669</v>
      </c>
      <c r="R10" s="743">
        <v>1755</v>
      </c>
      <c r="S10" s="744">
        <v>45888</v>
      </c>
      <c r="T10" s="745">
        <v>27388321</v>
      </c>
      <c r="U10" s="138" t="s">
        <v>23</v>
      </c>
      <c r="V10" s="746">
        <v>0.3</v>
      </c>
      <c r="W10" s="747">
        <v>3838</v>
      </c>
      <c r="X10" s="748">
        <v>2686</v>
      </c>
    </row>
    <row r="11" spans="1:24" s="465" customFormat="1" ht="13.8" customHeight="1" x14ac:dyDescent="0.3">
      <c r="A11" s="197" t="s">
        <v>156</v>
      </c>
      <c r="B11" s="286"/>
      <c r="C11" s="138" t="s">
        <v>193</v>
      </c>
      <c r="D11" s="738" t="s">
        <v>97</v>
      </c>
      <c r="E11" s="454" t="s">
        <v>87</v>
      </c>
      <c r="F11" s="740">
        <v>1550</v>
      </c>
      <c r="G11" s="707">
        <v>8776707083</v>
      </c>
      <c r="H11" s="742">
        <v>45705</v>
      </c>
      <c r="I11" s="743">
        <v>2690</v>
      </c>
      <c r="J11" s="744">
        <v>45931</v>
      </c>
      <c r="K11" s="460">
        <v>12640830</v>
      </c>
      <c r="L11" s="458">
        <v>2490</v>
      </c>
      <c r="M11" s="459">
        <v>45705</v>
      </c>
      <c r="N11" s="707">
        <v>8776707083</v>
      </c>
      <c r="O11" s="743">
        <v>5900</v>
      </c>
      <c r="P11" s="744">
        <v>45862</v>
      </c>
      <c r="Q11" s="745">
        <v>21849877</v>
      </c>
      <c r="R11" s="743"/>
      <c r="S11" s="744"/>
      <c r="T11" s="745"/>
      <c r="U11" s="138" t="s">
        <v>316</v>
      </c>
      <c r="V11" s="746">
        <v>0.25</v>
      </c>
      <c r="W11" s="747">
        <v>3838</v>
      </c>
      <c r="X11" s="748">
        <v>2559</v>
      </c>
    </row>
    <row r="12" spans="1:24" s="465" customFormat="1" ht="15" customHeight="1" x14ac:dyDescent="0.3">
      <c r="A12" s="197" t="s">
        <v>157</v>
      </c>
      <c r="B12" s="286"/>
      <c r="C12" s="138" t="s">
        <v>77</v>
      </c>
      <c r="D12" s="453" t="s">
        <v>99</v>
      </c>
      <c r="E12" s="454" t="s">
        <v>87</v>
      </c>
      <c r="F12" s="740">
        <v>1550</v>
      </c>
      <c r="G12" s="709" t="s">
        <v>100</v>
      </c>
      <c r="H12" s="742">
        <v>45712</v>
      </c>
      <c r="I12" s="743">
        <v>2690</v>
      </c>
      <c r="J12" s="744">
        <v>45712</v>
      </c>
      <c r="K12" s="460" t="s">
        <v>100</v>
      </c>
      <c r="L12" s="458">
        <v>2490</v>
      </c>
      <c r="M12" s="459">
        <v>45712</v>
      </c>
      <c r="N12" s="709" t="s">
        <v>100</v>
      </c>
      <c r="O12" s="743">
        <v>4000</v>
      </c>
      <c r="P12" s="744">
        <v>45810</v>
      </c>
      <c r="Q12" s="745" t="s">
        <v>190</v>
      </c>
      <c r="R12" s="743"/>
      <c r="S12" s="744"/>
      <c r="T12" s="745"/>
      <c r="U12" s="138" t="s">
        <v>316</v>
      </c>
      <c r="V12" s="746">
        <v>0.3</v>
      </c>
      <c r="W12" s="747">
        <v>3199</v>
      </c>
      <c r="X12" s="748">
        <v>2239.3000000000002</v>
      </c>
    </row>
    <row r="13" spans="1:24" s="465" customFormat="1" ht="18.600000000000001" customHeight="1" x14ac:dyDescent="0.3">
      <c r="A13" s="197" t="s">
        <v>158</v>
      </c>
      <c r="B13" s="286"/>
      <c r="C13" s="138" t="s">
        <v>77</v>
      </c>
      <c r="D13" s="453" t="s">
        <v>693</v>
      </c>
      <c r="E13" s="454" t="s">
        <v>87</v>
      </c>
      <c r="F13" s="740">
        <v>1550</v>
      </c>
      <c r="G13" s="709">
        <v>174622771</v>
      </c>
      <c r="H13" s="742">
        <v>45721</v>
      </c>
      <c r="I13" s="743">
        <v>2690</v>
      </c>
      <c r="J13" s="744">
        <v>45721</v>
      </c>
      <c r="K13" s="460">
        <v>174622771</v>
      </c>
      <c r="L13" s="458">
        <v>2490</v>
      </c>
      <c r="M13" s="459">
        <v>45721</v>
      </c>
      <c r="N13" s="460">
        <v>174622771</v>
      </c>
      <c r="O13" s="743"/>
      <c r="P13" s="744"/>
      <c r="Q13" s="745"/>
      <c r="R13" s="743">
        <v>3085</v>
      </c>
      <c r="S13" s="744">
        <v>45897</v>
      </c>
      <c r="T13" s="745">
        <v>2808250</v>
      </c>
      <c r="U13" s="138" t="s">
        <v>23</v>
      </c>
      <c r="V13" s="746">
        <v>0.3</v>
      </c>
      <c r="W13" s="747">
        <v>3838</v>
      </c>
      <c r="X13" s="748">
        <v>2686</v>
      </c>
    </row>
    <row r="14" spans="1:24" s="465" customFormat="1" ht="15" customHeight="1" x14ac:dyDescent="0.3">
      <c r="A14" s="197" t="s">
        <v>270</v>
      </c>
      <c r="B14" s="286"/>
      <c r="C14" s="138" t="s">
        <v>193</v>
      </c>
      <c r="D14" s="738" t="s">
        <v>192</v>
      </c>
      <c r="E14" s="454" t="s">
        <v>87</v>
      </c>
      <c r="F14" s="740">
        <v>1550</v>
      </c>
      <c r="G14" s="460">
        <v>7584919327</v>
      </c>
      <c r="H14" s="751">
        <v>45807</v>
      </c>
      <c r="I14" s="752">
        <v>2690</v>
      </c>
      <c r="J14" s="751">
        <v>45807</v>
      </c>
      <c r="K14" s="460">
        <v>7584919327</v>
      </c>
      <c r="L14" s="455">
        <v>2490</v>
      </c>
      <c r="M14" s="753">
        <v>45807</v>
      </c>
      <c r="N14" s="460">
        <v>7584919327</v>
      </c>
      <c r="O14" s="752"/>
      <c r="P14" s="751"/>
      <c r="Q14" s="745"/>
      <c r="R14" s="752"/>
      <c r="S14" s="751"/>
      <c r="T14" s="745"/>
      <c r="U14" s="138" t="s">
        <v>23</v>
      </c>
      <c r="V14" s="754">
        <v>0.2</v>
      </c>
      <c r="W14" s="755">
        <v>3838</v>
      </c>
      <c r="X14" s="748">
        <v>3071</v>
      </c>
    </row>
    <row r="15" spans="1:24" s="465" customFormat="1" ht="13.2" x14ac:dyDescent="0.3">
      <c r="A15" s="197" t="s">
        <v>271</v>
      </c>
      <c r="B15" s="286"/>
      <c r="C15" s="138" t="s">
        <v>193</v>
      </c>
      <c r="D15" s="738" t="s">
        <v>212</v>
      </c>
      <c r="E15" s="454" t="s">
        <v>195</v>
      </c>
      <c r="F15" s="740">
        <v>1860</v>
      </c>
      <c r="G15" s="460">
        <v>3006250</v>
      </c>
      <c r="H15" s="751">
        <v>45838</v>
      </c>
      <c r="I15" s="752">
        <v>2690</v>
      </c>
      <c r="J15" s="751">
        <v>45838</v>
      </c>
      <c r="K15" s="460">
        <v>3006250</v>
      </c>
      <c r="L15" s="455">
        <v>2490</v>
      </c>
      <c r="M15" s="753">
        <v>45838</v>
      </c>
      <c r="N15" s="460">
        <v>3006250</v>
      </c>
      <c r="O15" s="752">
        <v>5900</v>
      </c>
      <c r="P15" s="751">
        <v>45868</v>
      </c>
      <c r="Q15" s="745" t="s">
        <v>305</v>
      </c>
      <c r="R15" s="752"/>
      <c r="S15" s="751"/>
      <c r="T15" s="745"/>
      <c r="U15" s="138"/>
      <c r="V15" s="746"/>
      <c r="W15" s="755"/>
      <c r="X15" s="748"/>
    </row>
    <row r="16" spans="1:24" s="465" customFormat="1" ht="13.2" x14ac:dyDescent="0.3">
      <c r="A16" s="197" t="s">
        <v>272</v>
      </c>
      <c r="B16" s="286"/>
      <c r="C16" s="138" t="s">
        <v>193</v>
      </c>
      <c r="D16" s="738" t="s">
        <v>214</v>
      </c>
      <c r="E16" s="454" t="s">
        <v>195</v>
      </c>
      <c r="F16" s="756">
        <v>1860</v>
      </c>
      <c r="G16" s="460">
        <v>94628</v>
      </c>
      <c r="H16" s="751">
        <v>45839</v>
      </c>
      <c r="I16" s="752">
        <v>2690</v>
      </c>
      <c r="J16" s="751">
        <v>45871</v>
      </c>
      <c r="K16" s="460">
        <v>8.5902003774321408E+16</v>
      </c>
      <c r="L16" s="458">
        <v>2490</v>
      </c>
      <c r="M16" s="753">
        <v>45839</v>
      </c>
      <c r="N16" s="460">
        <v>94628</v>
      </c>
      <c r="O16" s="752">
        <v>5900</v>
      </c>
      <c r="P16" s="751">
        <v>45871</v>
      </c>
      <c r="Q16" s="745">
        <v>8.5902003774321408E+16</v>
      </c>
      <c r="R16" s="752"/>
      <c r="S16" s="751"/>
      <c r="T16" s="745"/>
      <c r="U16" s="138"/>
      <c r="V16" s="754"/>
      <c r="W16" s="755"/>
      <c r="X16" s="748"/>
    </row>
    <row r="17" spans="1:24" s="465" customFormat="1" ht="13.2" x14ac:dyDescent="0.3">
      <c r="A17" s="197" t="s">
        <v>221</v>
      </c>
      <c r="B17" s="286"/>
      <c r="C17" s="138" t="s">
        <v>77</v>
      </c>
      <c r="D17" s="453" t="s">
        <v>219</v>
      </c>
      <c r="E17" s="454" t="s">
        <v>195</v>
      </c>
      <c r="F17" s="756">
        <v>1860</v>
      </c>
      <c r="G17" s="460">
        <v>5020242</v>
      </c>
      <c r="H17" s="751">
        <v>45853</v>
      </c>
      <c r="I17" s="752">
        <v>2690</v>
      </c>
      <c r="J17" s="751">
        <v>45853</v>
      </c>
      <c r="K17" s="460">
        <v>5020242</v>
      </c>
      <c r="L17" s="458">
        <v>2490</v>
      </c>
      <c r="M17" s="753">
        <v>45853</v>
      </c>
      <c r="N17" s="460">
        <v>5020242</v>
      </c>
      <c r="O17" s="752">
        <v>5900</v>
      </c>
      <c r="P17" s="751">
        <v>45897</v>
      </c>
      <c r="Q17" s="745">
        <v>5022242</v>
      </c>
      <c r="R17" s="752"/>
      <c r="S17" s="751"/>
      <c r="T17" s="745"/>
      <c r="U17" s="138"/>
      <c r="V17" s="754"/>
      <c r="W17" s="755"/>
      <c r="X17" s="748"/>
    </row>
    <row r="18" spans="1:24" s="484" customFormat="1" ht="13.2" x14ac:dyDescent="0.3">
      <c r="A18" s="187" t="s">
        <v>225</v>
      </c>
      <c r="B18" s="286"/>
      <c r="C18" s="380" t="s">
        <v>77</v>
      </c>
      <c r="D18" s="453" t="s">
        <v>224</v>
      </c>
      <c r="E18" s="454" t="s">
        <v>195</v>
      </c>
      <c r="F18" s="756">
        <v>1860</v>
      </c>
      <c r="G18" s="480">
        <v>26500582</v>
      </c>
      <c r="H18" s="757">
        <v>45845</v>
      </c>
      <c r="I18" s="758"/>
      <c r="J18" s="187"/>
      <c r="K18" s="480"/>
      <c r="L18" s="478">
        <v>2490</v>
      </c>
      <c r="M18" s="759">
        <v>45845</v>
      </c>
      <c r="N18" s="480">
        <v>40017281</v>
      </c>
      <c r="O18" s="758">
        <v>5900</v>
      </c>
      <c r="P18" s="757">
        <v>45860</v>
      </c>
      <c r="Q18" s="760">
        <v>11469359</v>
      </c>
      <c r="R18" s="758"/>
      <c r="S18" s="187"/>
      <c r="T18" s="760"/>
      <c r="U18" s="380"/>
      <c r="V18" s="380"/>
      <c r="W18" s="761"/>
      <c r="X18" s="762"/>
    </row>
    <row r="19" spans="1:24" s="465" customFormat="1" ht="13.2" x14ac:dyDescent="0.3">
      <c r="A19" s="763" t="s">
        <v>241</v>
      </c>
      <c r="B19" s="286"/>
      <c r="C19" s="138" t="s">
        <v>193</v>
      </c>
      <c r="D19" s="764" t="s">
        <v>240</v>
      </c>
      <c r="E19" s="454" t="s">
        <v>195</v>
      </c>
      <c r="F19" s="756">
        <v>1860</v>
      </c>
      <c r="G19" s="460" t="s">
        <v>242</v>
      </c>
      <c r="H19" s="751">
        <v>45852</v>
      </c>
      <c r="I19" s="765">
        <v>2690</v>
      </c>
      <c r="J19" s="766">
        <v>46148</v>
      </c>
      <c r="K19" s="767">
        <v>57660</v>
      </c>
      <c r="L19" s="469">
        <v>2490</v>
      </c>
      <c r="M19" s="768">
        <v>46148</v>
      </c>
      <c r="N19" s="769">
        <v>57666</v>
      </c>
      <c r="O19" s="752">
        <v>5900</v>
      </c>
      <c r="P19" s="751">
        <v>45852</v>
      </c>
      <c r="Q19" s="745" t="s">
        <v>242</v>
      </c>
      <c r="R19" s="752"/>
      <c r="S19" s="751"/>
      <c r="T19" s="745"/>
      <c r="U19" s="138"/>
      <c r="V19" s="754"/>
      <c r="W19" s="755"/>
      <c r="X19" s="748"/>
    </row>
    <row r="20" spans="1:24" s="465" customFormat="1" ht="13.2" x14ac:dyDescent="0.3">
      <c r="A20" s="197" t="s">
        <v>273</v>
      </c>
      <c r="B20" s="286"/>
      <c r="C20" s="138" t="s">
        <v>193</v>
      </c>
      <c r="D20" s="738" t="s">
        <v>248</v>
      </c>
      <c r="E20" s="454" t="s">
        <v>195</v>
      </c>
      <c r="F20" s="770" t="s">
        <v>247</v>
      </c>
      <c r="G20" s="460" t="s">
        <v>247</v>
      </c>
      <c r="H20" s="751">
        <v>45854</v>
      </c>
      <c r="I20" s="752">
        <v>2690</v>
      </c>
      <c r="J20" s="751">
        <v>45854</v>
      </c>
      <c r="K20" s="460">
        <v>250716</v>
      </c>
      <c r="L20" s="458">
        <v>2490</v>
      </c>
      <c r="M20" s="753">
        <v>45854</v>
      </c>
      <c r="N20" s="460">
        <v>250716</v>
      </c>
      <c r="O20" s="752">
        <v>5900</v>
      </c>
      <c r="P20" s="751">
        <v>45854</v>
      </c>
      <c r="Q20" s="745">
        <v>250716</v>
      </c>
      <c r="R20" s="752"/>
      <c r="S20" s="771"/>
      <c r="T20" s="772"/>
      <c r="U20" s="138"/>
      <c r="V20" s="754"/>
      <c r="W20" s="755"/>
      <c r="X20" s="748"/>
    </row>
    <row r="21" spans="1:24" s="465" customFormat="1" ht="13.2" x14ac:dyDescent="0.3">
      <c r="A21" s="197" t="s">
        <v>274</v>
      </c>
      <c r="B21" s="286"/>
      <c r="C21" s="138" t="s">
        <v>193</v>
      </c>
      <c r="D21" s="738" t="s">
        <v>249</v>
      </c>
      <c r="E21" s="454" t="s">
        <v>195</v>
      </c>
      <c r="F21" s="756">
        <v>1860</v>
      </c>
      <c r="G21" s="460">
        <v>785296355</v>
      </c>
      <c r="H21" s="751">
        <v>45810</v>
      </c>
      <c r="I21" s="752">
        <v>2690</v>
      </c>
      <c r="J21" s="751">
        <v>45855</v>
      </c>
      <c r="K21" s="460">
        <v>785296355</v>
      </c>
      <c r="L21" s="458">
        <v>2490</v>
      </c>
      <c r="M21" s="753">
        <v>45810</v>
      </c>
      <c r="N21" s="460">
        <v>785296355</v>
      </c>
      <c r="O21" s="752">
        <v>5900</v>
      </c>
      <c r="P21" s="751">
        <v>45874</v>
      </c>
      <c r="Q21" s="745">
        <v>26341385</v>
      </c>
      <c r="R21" s="752"/>
      <c r="S21" s="197"/>
      <c r="T21" s="745"/>
      <c r="U21" s="138"/>
      <c r="V21" s="754"/>
      <c r="W21" s="755"/>
      <c r="X21" s="748"/>
    </row>
    <row r="22" spans="1:24" s="465" customFormat="1" ht="13.2" x14ac:dyDescent="0.3">
      <c r="A22" s="197" t="s">
        <v>275</v>
      </c>
      <c r="B22" s="286"/>
      <c r="C22" s="138" t="s">
        <v>77</v>
      </c>
      <c r="D22" s="453" t="s">
        <v>251</v>
      </c>
      <c r="E22" s="454" t="s">
        <v>195</v>
      </c>
      <c r="F22" s="756">
        <v>1860</v>
      </c>
      <c r="G22" s="460">
        <v>21370334</v>
      </c>
      <c r="H22" s="751">
        <v>45856</v>
      </c>
      <c r="I22" s="752">
        <v>2690</v>
      </c>
      <c r="J22" s="751">
        <v>45856</v>
      </c>
      <c r="K22" s="460">
        <v>213703334</v>
      </c>
      <c r="L22" s="458"/>
      <c r="M22" s="753"/>
      <c r="N22" s="460"/>
      <c r="O22" s="752">
        <v>5900</v>
      </c>
      <c r="P22" s="751">
        <v>45897</v>
      </c>
      <c r="Q22" s="745">
        <v>1748</v>
      </c>
      <c r="R22" s="752"/>
      <c r="S22" s="197"/>
      <c r="T22" s="745"/>
      <c r="U22" s="138"/>
      <c r="V22" s="746"/>
      <c r="W22" s="755"/>
      <c r="X22" s="748">
        <v>2686</v>
      </c>
    </row>
    <row r="23" spans="1:24" s="465" customFormat="1" ht="13.2" x14ac:dyDescent="0.3">
      <c r="A23" s="197" t="s">
        <v>276</v>
      </c>
      <c r="B23" s="286"/>
      <c r="C23" s="138" t="s">
        <v>193</v>
      </c>
      <c r="D23" s="453" t="s">
        <v>267</v>
      </c>
      <c r="E23" s="454" t="s">
        <v>195</v>
      </c>
      <c r="F23" s="756" t="s">
        <v>66</v>
      </c>
      <c r="G23" s="460" t="s">
        <v>66</v>
      </c>
      <c r="H23" s="751">
        <v>45863</v>
      </c>
      <c r="I23" s="752"/>
      <c r="J23" s="751"/>
      <c r="K23" s="460"/>
      <c r="L23" s="458">
        <v>2490</v>
      </c>
      <c r="M23" s="753">
        <v>45863</v>
      </c>
      <c r="N23" s="460">
        <v>56006</v>
      </c>
      <c r="O23" s="752">
        <v>4200</v>
      </c>
      <c r="P23" s="751">
        <v>46086</v>
      </c>
      <c r="Q23" s="745"/>
      <c r="R23" s="752"/>
      <c r="S23" s="197"/>
      <c r="T23" s="745"/>
      <c r="U23" s="138"/>
      <c r="V23" s="746"/>
      <c r="W23" s="755"/>
      <c r="X23" s="748"/>
    </row>
    <row r="24" spans="1:24" s="465" customFormat="1" ht="13.2" x14ac:dyDescent="0.3">
      <c r="A24" s="197" t="s">
        <v>277</v>
      </c>
      <c r="B24" s="286"/>
      <c r="C24" s="138" t="s">
        <v>77</v>
      </c>
      <c r="D24" s="453" t="s">
        <v>257</v>
      </c>
      <c r="E24" s="454" t="s">
        <v>195</v>
      </c>
      <c r="F24" s="756">
        <v>1743</v>
      </c>
      <c r="G24" s="460">
        <v>35678624</v>
      </c>
      <c r="H24" s="751">
        <v>45859</v>
      </c>
      <c r="I24" s="752">
        <v>1883</v>
      </c>
      <c r="J24" s="751">
        <v>45866</v>
      </c>
      <c r="K24" s="460">
        <v>75239048</v>
      </c>
      <c r="L24" s="458">
        <v>1743</v>
      </c>
      <c r="M24" s="459">
        <v>45859</v>
      </c>
      <c r="N24" s="460">
        <v>35678624</v>
      </c>
      <c r="O24" s="752">
        <v>5900</v>
      </c>
      <c r="P24" s="751">
        <v>45901</v>
      </c>
      <c r="Q24" s="751" t="s">
        <v>389</v>
      </c>
      <c r="R24" s="752"/>
      <c r="S24" s="751"/>
      <c r="T24" s="745"/>
      <c r="U24" s="138"/>
      <c r="V24" s="746"/>
      <c r="W24" s="755"/>
      <c r="X24" s="748"/>
    </row>
    <row r="25" spans="1:24" s="465" customFormat="1" ht="13.2" x14ac:dyDescent="0.3">
      <c r="A25" s="197" t="s">
        <v>335</v>
      </c>
      <c r="B25" s="286"/>
      <c r="C25" s="327" t="s">
        <v>193</v>
      </c>
      <c r="D25" s="711" t="s">
        <v>334</v>
      </c>
      <c r="E25" s="773" t="s">
        <v>195</v>
      </c>
      <c r="F25" s="774" t="s">
        <v>66</v>
      </c>
      <c r="G25" s="713" t="s">
        <v>66</v>
      </c>
      <c r="H25" s="775">
        <v>45877</v>
      </c>
      <c r="I25" s="776"/>
      <c r="J25" s="775"/>
      <c r="K25" s="713"/>
      <c r="L25" s="712">
        <v>1550</v>
      </c>
      <c r="M25" s="714">
        <v>45877</v>
      </c>
      <c r="N25" s="713" t="s">
        <v>92</v>
      </c>
      <c r="O25" s="776">
        <v>5500</v>
      </c>
      <c r="P25" s="775">
        <v>45877</v>
      </c>
      <c r="Q25" s="777">
        <v>65669</v>
      </c>
      <c r="R25" s="776"/>
      <c r="S25" s="775"/>
      <c r="T25" s="777"/>
      <c r="U25" s="327" t="s">
        <v>258</v>
      </c>
      <c r="V25" s="778">
        <v>0.25</v>
      </c>
      <c r="W25" s="779">
        <v>3838.8</v>
      </c>
      <c r="X25" s="780">
        <v>2879</v>
      </c>
    </row>
    <row r="26" spans="1:24" s="465" customFormat="1" ht="13.2" x14ac:dyDescent="0.3">
      <c r="A26" s="197" t="s">
        <v>353</v>
      </c>
      <c r="B26" s="286"/>
      <c r="C26" s="327" t="s">
        <v>352</v>
      </c>
      <c r="D26" s="711" t="s">
        <v>351</v>
      </c>
      <c r="E26" s="773" t="s">
        <v>195</v>
      </c>
      <c r="F26" s="774" t="s">
        <v>66</v>
      </c>
      <c r="G26" s="713" t="s">
        <v>66</v>
      </c>
      <c r="H26" s="775">
        <v>45883</v>
      </c>
      <c r="I26" s="776">
        <v>1883</v>
      </c>
      <c r="J26" s="775">
        <v>45915</v>
      </c>
      <c r="K26" s="713">
        <v>404260</v>
      </c>
      <c r="L26" s="712">
        <v>1550</v>
      </c>
      <c r="M26" s="714">
        <v>45915</v>
      </c>
      <c r="N26" s="713">
        <v>404260</v>
      </c>
      <c r="O26" s="776">
        <v>3000</v>
      </c>
      <c r="P26" s="775">
        <v>45915</v>
      </c>
      <c r="Q26" s="777">
        <v>404260</v>
      </c>
      <c r="R26" s="776"/>
      <c r="S26" s="775"/>
      <c r="T26" s="777"/>
      <c r="U26" s="327"/>
      <c r="V26" s="778"/>
      <c r="W26" s="779"/>
      <c r="X26" s="780"/>
    </row>
    <row r="27" spans="1:24" s="465" customFormat="1" ht="13.2" x14ac:dyDescent="0.3">
      <c r="A27" s="197"/>
      <c r="B27" s="286"/>
      <c r="C27" s="327" t="s">
        <v>193</v>
      </c>
      <c r="D27" s="781" t="s">
        <v>315</v>
      </c>
      <c r="E27" s="773" t="s">
        <v>195</v>
      </c>
      <c r="F27" s="774">
        <v>1860</v>
      </c>
      <c r="G27" s="713">
        <v>93996052</v>
      </c>
      <c r="H27" s="775">
        <v>45835</v>
      </c>
      <c r="I27" s="776">
        <v>2690</v>
      </c>
      <c r="J27" s="775">
        <v>45835</v>
      </c>
      <c r="K27" s="713">
        <v>93996052</v>
      </c>
      <c r="L27" s="712">
        <v>2490</v>
      </c>
      <c r="M27" s="714">
        <v>45835</v>
      </c>
      <c r="N27" s="713">
        <v>93996052</v>
      </c>
      <c r="O27" s="776">
        <v>5900</v>
      </c>
      <c r="P27" s="775">
        <v>45884</v>
      </c>
      <c r="Q27" s="777">
        <v>4514232</v>
      </c>
      <c r="R27" s="776"/>
      <c r="S27" s="775"/>
      <c r="T27" s="777"/>
      <c r="U27" s="327" t="s">
        <v>258</v>
      </c>
      <c r="V27" s="778">
        <v>0.25</v>
      </c>
      <c r="W27" s="779">
        <v>3838.8</v>
      </c>
      <c r="X27" s="780">
        <v>2879</v>
      </c>
    </row>
    <row r="28" spans="1:24" s="465" customFormat="1" ht="13.2" x14ac:dyDescent="0.3">
      <c r="A28" s="197" t="s">
        <v>367</v>
      </c>
      <c r="B28" s="286"/>
      <c r="C28" s="327" t="s">
        <v>77</v>
      </c>
      <c r="D28" s="711" t="s">
        <v>366</v>
      </c>
      <c r="E28" s="773" t="s">
        <v>195</v>
      </c>
      <c r="F28" s="774" t="s">
        <v>66</v>
      </c>
      <c r="G28" s="713" t="s">
        <v>66</v>
      </c>
      <c r="H28" s="775">
        <v>45889</v>
      </c>
      <c r="I28" s="776">
        <v>1345</v>
      </c>
      <c r="J28" s="775">
        <v>45889</v>
      </c>
      <c r="K28" s="713">
        <v>2008250</v>
      </c>
      <c r="L28" s="712">
        <v>1245</v>
      </c>
      <c r="M28" s="714">
        <v>45889</v>
      </c>
      <c r="N28" s="713">
        <v>2008250</v>
      </c>
      <c r="O28" s="776"/>
      <c r="P28" s="775"/>
      <c r="Q28" s="777"/>
      <c r="R28" s="776"/>
      <c r="S28" s="775"/>
      <c r="T28" s="777"/>
      <c r="U28" s="327"/>
      <c r="V28" s="778"/>
      <c r="W28" s="779"/>
      <c r="X28" s="780"/>
    </row>
    <row r="29" spans="1:24" s="465" customFormat="1" ht="13.2" x14ac:dyDescent="0.3">
      <c r="A29" s="197" t="s">
        <v>387</v>
      </c>
      <c r="B29" s="286"/>
      <c r="C29" s="327" t="s">
        <v>352</v>
      </c>
      <c r="D29" s="711" t="s">
        <v>386</v>
      </c>
      <c r="E29" s="773" t="s">
        <v>195</v>
      </c>
      <c r="F29" s="774" t="s">
        <v>66</v>
      </c>
      <c r="G29" s="713" t="s">
        <v>66</v>
      </c>
      <c r="H29" s="775">
        <v>45894</v>
      </c>
      <c r="I29" s="776"/>
      <c r="J29" s="775"/>
      <c r="K29" s="713"/>
      <c r="L29" s="712"/>
      <c r="M29" s="714"/>
      <c r="N29" s="713"/>
      <c r="O29" s="776"/>
      <c r="P29" s="775"/>
      <c r="Q29" s="777"/>
      <c r="R29" s="776"/>
      <c r="S29" s="775"/>
      <c r="T29" s="777"/>
      <c r="U29" s="327" t="s">
        <v>316</v>
      </c>
      <c r="V29" s="778">
        <v>0.3</v>
      </c>
      <c r="W29" s="779">
        <v>3838</v>
      </c>
      <c r="X29" s="780">
        <v>3239</v>
      </c>
    </row>
    <row r="30" spans="1:24" s="465" customFormat="1" ht="13.2" x14ac:dyDescent="0.3">
      <c r="A30" s="197" t="s">
        <v>278</v>
      </c>
      <c r="B30" s="286"/>
      <c r="C30" s="327" t="s">
        <v>77</v>
      </c>
      <c r="D30" s="711" t="s">
        <v>266</v>
      </c>
      <c r="E30" s="773" t="s">
        <v>195</v>
      </c>
      <c r="F30" s="774">
        <v>1860</v>
      </c>
      <c r="G30" s="713">
        <v>36644385</v>
      </c>
      <c r="H30" s="775">
        <v>45862</v>
      </c>
      <c r="I30" s="776">
        <v>2690</v>
      </c>
      <c r="J30" s="775">
        <v>45862</v>
      </c>
      <c r="K30" s="713">
        <v>36644385</v>
      </c>
      <c r="L30" s="712">
        <v>2490</v>
      </c>
      <c r="M30" s="714">
        <v>45862</v>
      </c>
      <c r="N30" s="713">
        <v>36644385</v>
      </c>
      <c r="O30" s="776">
        <v>5900</v>
      </c>
      <c r="P30" s="775">
        <v>45870</v>
      </c>
      <c r="Q30" s="777">
        <v>57211632</v>
      </c>
      <c r="R30" s="776"/>
      <c r="S30" s="775"/>
      <c r="T30" s="777"/>
      <c r="U30" s="327" t="s">
        <v>316</v>
      </c>
      <c r="V30" s="778">
        <v>0.2</v>
      </c>
      <c r="W30" s="779">
        <v>3838</v>
      </c>
      <c r="X30" s="780">
        <v>2623</v>
      </c>
    </row>
    <row r="31" spans="1:24" s="465" customFormat="1" ht="13.2" x14ac:dyDescent="0.3">
      <c r="A31" s="197" t="s">
        <v>417</v>
      </c>
      <c r="B31" s="286"/>
      <c r="C31" s="327" t="s">
        <v>352</v>
      </c>
      <c r="D31" s="711" t="s">
        <v>416</v>
      </c>
      <c r="E31" s="773" t="s">
        <v>195</v>
      </c>
      <c r="F31" s="774" t="s">
        <v>66</v>
      </c>
      <c r="G31" s="713" t="s">
        <v>66</v>
      </c>
      <c r="H31" s="775">
        <v>45884</v>
      </c>
      <c r="I31" s="776">
        <v>1245</v>
      </c>
      <c r="J31" s="775">
        <v>45922</v>
      </c>
      <c r="K31" s="713">
        <v>15661754</v>
      </c>
      <c r="L31" s="712">
        <v>1345</v>
      </c>
      <c r="M31" s="714">
        <v>45922</v>
      </c>
      <c r="N31" s="713">
        <v>29462213</v>
      </c>
      <c r="O31" s="776">
        <v>5900</v>
      </c>
      <c r="P31" s="775">
        <v>45898</v>
      </c>
      <c r="Q31" s="777">
        <v>65092656</v>
      </c>
      <c r="R31" s="776">
        <v>2045</v>
      </c>
      <c r="S31" s="775">
        <v>45898</v>
      </c>
      <c r="T31" s="777">
        <v>65092656</v>
      </c>
      <c r="U31" s="327"/>
      <c r="V31" s="778"/>
      <c r="W31" s="779"/>
      <c r="X31" s="780"/>
    </row>
    <row r="32" spans="1:24" s="465" customFormat="1" ht="13.2" x14ac:dyDescent="0.3">
      <c r="A32" s="197"/>
      <c r="B32" s="286"/>
      <c r="C32" s="327"/>
      <c r="D32" s="711"/>
      <c r="E32" s="773"/>
      <c r="F32" s="774"/>
      <c r="G32" s="713"/>
      <c r="H32" s="775"/>
      <c r="I32" s="776"/>
      <c r="J32" s="775"/>
      <c r="K32" s="713"/>
      <c r="L32" s="712"/>
      <c r="M32" s="714"/>
      <c r="N32" s="713"/>
      <c r="O32" s="776"/>
      <c r="P32" s="775"/>
      <c r="Q32" s="777"/>
      <c r="R32" s="776"/>
      <c r="S32" s="775"/>
      <c r="T32" s="777"/>
      <c r="U32" s="327"/>
      <c r="V32" s="778"/>
      <c r="W32" s="779"/>
      <c r="X32" s="780"/>
    </row>
    <row r="33" spans="1:41" s="465" customFormat="1" ht="13.2" x14ac:dyDescent="0.3">
      <c r="A33" s="197"/>
      <c r="B33" s="286"/>
      <c r="C33" s="327"/>
      <c r="D33" s="711"/>
      <c r="E33" s="773"/>
      <c r="F33" s="774"/>
      <c r="G33" s="713"/>
      <c r="H33" s="775"/>
      <c r="I33" s="776"/>
      <c r="J33" s="775"/>
      <c r="K33" s="713"/>
      <c r="L33" s="712"/>
      <c r="M33" s="714"/>
      <c r="N33" s="713"/>
      <c r="O33" s="776"/>
      <c r="P33" s="775"/>
      <c r="Q33" s="777"/>
      <c r="R33" s="776"/>
      <c r="S33" s="775"/>
      <c r="T33" s="777"/>
      <c r="U33" s="327"/>
      <c r="V33" s="778"/>
      <c r="W33" s="779"/>
      <c r="X33" s="780"/>
    </row>
    <row r="34" spans="1:41" s="465" customFormat="1" ht="13.8" thickBot="1" x14ac:dyDescent="0.35">
      <c r="A34" s="197"/>
      <c r="B34" s="286"/>
      <c r="C34" s="147"/>
      <c r="D34" s="487"/>
      <c r="E34" s="488"/>
      <c r="F34" s="782"/>
      <c r="G34" s="491"/>
      <c r="H34" s="783"/>
      <c r="I34" s="784"/>
      <c r="J34" s="783"/>
      <c r="K34" s="491"/>
      <c r="L34" s="489"/>
      <c r="M34" s="785"/>
      <c r="N34" s="491"/>
      <c r="O34" s="784"/>
      <c r="P34" s="783"/>
      <c r="Q34" s="786"/>
      <c r="R34" s="784"/>
      <c r="S34" s="783"/>
      <c r="T34" s="786"/>
      <c r="U34" s="147"/>
      <c r="V34" s="787"/>
      <c r="W34" s="788"/>
      <c r="X34" s="789"/>
    </row>
    <row r="35" spans="1:41" x14ac:dyDescent="0.25">
      <c r="Q35" s="439" t="s">
        <v>313</v>
      </c>
    </row>
    <row r="38" spans="1:41" ht="12.6" thickBot="1" x14ac:dyDescent="0.3"/>
    <row r="39" spans="1:41" ht="12.6" thickBot="1" x14ac:dyDescent="0.3">
      <c r="B39" s="1395" t="s">
        <v>24</v>
      </c>
      <c r="C39" s="1396"/>
      <c r="D39" s="1396"/>
      <c r="E39" s="1396"/>
      <c r="F39" s="1396"/>
      <c r="G39" s="1396"/>
      <c r="H39" s="1396"/>
      <c r="I39" s="1396"/>
      <c r="J39" s="1396"/>
      <c r="K39" s="1396"/>
      <c r="L39" s="1396"/>
      <c r="M39" s="1396"/>
      <c r="N39" s="1396"/>
      <c r="O39" s="1396"/>
      <c r="P39" s="1396"/>
      <c r="Q39" s="1396"/>
      <c r="R39" s="1396"/>
      <c r="S39" s="1396"/>
      <c r="T39" s="1396"/>
      <c r="U39" s="1396"/>
      <c r="V39" s="1396"/>
      <c r="W39" s="1396"/>
      <c r="X39" s="1396"/>
      <c r="Y39" s="1396"/>
      <c r="Z39" s="1396"/>
      <c r="AA39" s="1396"/>
      <c r="AB39" s="1396"/>
      <c r="AC39" s="1396"/>
      <c r="AD39" s="1396"/>
      <c r="AE39" s="1396"/>
      <c r="AF39" s="1396"/>
      <c r="AG39" s="1396"/>
      <c r="AH39" s="1396"/>
      <c r="AI39" s="1396"/>
      <c r="AJ39" s="1396"/>
      <c r="AK39" s="1396"/>
      <c r="AL39" s="1396"/>
      <c r="AM39" s="1396"/>
      <c r="AN39" s="1397"/>
    </row>
    <row r="40" spans="1:41" ht="12.6" thickBot="1" x14ac:dyDescent="0.3">
      <c r="B40" s="496" t="s">
        <v>9</v>
      </c>
      <c r="C40" s="497" t="s">
        <v>10</v>
      </c>
      <c r="D40" s="496" t="s">
        <v>11</v>
      </c>
      <c r="E40" s="1398" t="s">
        <v>25</v>
      </c>
      <c r="F40" s="1399"/>
      <c r="G40" s="1400"/>
      <c r="H40" s="1401" t="s">
        <v>26</v>
      </c>
      <c r="I40" s="1401"/>
      <c r="J40" s="1401"/>
      <c r="K40" s="1398" t="s">
        <v>27</v>
      </c>
      <c r="L40" s="1399"/>
      <c r="M40" s="1400"/>
      <c r="N40" s="1401" t="s">
        <v>28</v>
      </c>
      <c r="O40" s="1401"/>
      <c r="P40" s="1401"/>
      <c r="Q40" s="1398" t="s">
        <v>29</v>
      </c>
      <c r="R40" s="1399"/>
      <c r="S40" s="1400"/>
      <c r="T40" s="1401" t="s">
        <v>30</v>
      </c>
      <c r="U40" s="1401"/>
      <c r="V40" s="1401"/>
      <c r="W40" s="1398" t="s">
        <v>36</v>
      </c>
      <c r="X40" s="1399"/>
      <c r="Y40" s="1400"/>
      <c r="Z40" s="1401" t="s">
        <v>31</v>
      </c>
      <c r="AA40" s="1401"/>
      <c r="AB40" s="1401"/>
      <c r="AC40" s="1398" t="s">
        <v>32</v>
      </c>
      <c r="AD40" s="1399"/>
      <c r="AE40" s="1400"/>
      <c r="AF40" s="1401" t="s">
        <v>33</v>
      </c>
      <c r="AG40" s="1401"/>
      <c r="AH40" s="1401"/>
      <c r="AI40" s="1398" t="s">
        <v>34</v>
      </c>
      <c r="AJ40" s="1399"/>
      <c r="AK40" s="1400"/>
      <c r="AL40" s="1401" t="s">
        <v>35</v>
      </c>
      <c r="AM40" s="1401"/>
      <c r="AN40" s="1402"/>
    </row>
    <row r="41" spans="1:41" ht="12.6" thickBot="1" x14ac:dyDescent="0.3">
      <c r="B41" s="498"/>
      <c r="C41" s="452"/>
      <c r="D41" s="452"/>
      <c r="E41" s="499" t="s">
        <v>37</v>
      </c>
      <c r="F41" s="500" t="s">
        <v>15</v>
      </c>
      <c r="G41" s="501" t="s">
        <v>14</v>
      </c>
      <c r="H41" s="500" t="s">
        <v>37</v>
      </c>
      <c r="I41" s="500" t="s">
        <v>15</v>
      </c>
      <c r="J41" s="500" t="s">
        <v>14</v>
      </c>
      <c r="K41" s="499" t="s">
        <v>37</v>
      </c>
      <c r="L41" s="500" t="s">
        <v>15</v>
      </c>
      <c r="M41" s="501" t="s">
        <v>14</v>
      </c>
      <c r="N41" s="500" t="s">
        <v>37</v>
      </c>
      <c r="O41" s="500" t="s">
        <v>15</v>
      </c>
      <c r="P41" s="500" t="s">
        <v>14</v>
      </c>
      <c r="Q41" s="499" t="s">
        <v>37</v>
      </c>
      <c r="R41" s="500" t="s">
        <v>15</v>
      </c>
      <c r="S41" s="501" t="s">
        <v>14</v>
      </c>
      <c r="T41" s="500" t="s">
        <v>37</v>
      </c>
      <c r="U41" s="500" t="s">
        <v>15</v>
      </c>
      <c r="V41" s="500" t="s">
        <v>14</v>
      </c>
      <c r="W41" s="499" t="s">
        <v>37</v>
      </c>
      <c r="X41" s="500" t="s">
        <v>15</v>
      </c>
      <c r="Y41" s="501" t="s">
        <v>14</v>
      </c>
      <c r="Z41" s="500" t="s">
        <v>37</v>
      </c>
      <c r="AA41" s="500" t="s">
        <v>15</v>
      </c>
      <c r="AB41" s="500" t="s">
        <v>14</v>
      </c>
      <c r="AC41" s="499" t="s">
        <v>37</v>
      </c>
      <c r="AD41" s="500" t="s">
        <v>15</v>
      </c>
      <c r="AE41" s="501" t="s">
        <v>14</v>
      </c>
      <c r="AF41" s="500" t="s">
        <v>37</v>
      </c>
      <c r="AG41" s="500" t="s">
        <v>15</v>
      </c>
      <c r="AH41" s="500" t="s">
        <v>14</v>
      </c>
      <c r="AI41" s="499" t="s">
        <v>37</v>
      </c>
      <c r="AJ41" s="500" t="s">
        <v>15</v>
      </c>
      <c r="AK41" s="501" t="s">
        <v>14</v>
      </c>
      <c r="AL41" s="500" t="s">
        <v>37</v>
      </c>
      <c r="AM41" s="500" t="s">
        <v>15</v>
      </c>
      <c r="AN41" s="501" t="s">
        <v>14</v>
      </c>
    </row>
    <row r="42" spans="1:41" s="876" customFormat="1" x14ac:dyDescent="0.25">
      <c r="B42" s="1120"/>
      <c r="C42" s="1121"/>
      <c r="D42" s="453" t="str">
        <f t="shared" ref="D42:D65" si="0">D8</f>
        <v>ALICE YANELI SALINAS TOLEDO</v>
      </c>
      <c r="E42" s="1122"/>
      <c r="F42" s="85"/>
      <c r="G42" s="1123"/>
      <c r="H42" s="1024">
        <v>2494.75</v>
      </c>
      <c r="I42" s="85">
        <v>45900</v>
      </c>
      <c r="J42" s="1124">
        <v>300825</v>
      </c>
      <c r="K42" s="1024">
        <v>2494.75</v>
      </c>
      <c r="L42" s="85">
        <v>45935</v>
      </c>
      <c r="M42" s="1124">
        <v>61025</v>
      </c>
      <c r="N42" s="1024">
        <v>2494.75</v>
      </c>
      <c r="O42" s="85">
        <v>45966</v>
      </c>
      <c r="P42" s="1124">
        <v>1615258</v>
      </c>
      <c r="Q42" s="1024">
        <v>2494.75</v>
      </c>
      <c r="R42" s="85">
        <v>45993</v>
      </c>
      <c r="S42" s="1124">
        <v>101226</v>
      </c>
      <c r="T42" s="1024">
        <v>2696</v>
      </c>
      <c r="U42" s="85">
        <v>46022</v>
      </c>
      <c r="V42" s="1124">
        <v>10126</v>
      </c>
      <c r="W42" s="1024"/>
      <c r="X42" s="85"/>
      <c r="Y42" s="1124"/>
      <c r="Z42" s="1024">
        <v>2696</v>
      </c>
      <c r="AA42" s="1125">
        <v>46022</v>
      </c>
      <c r="AB42" s="1126">
        <v>28994436</v>
      </c>
      <c r="AC42" s="1024">
        <v>2696</v>
      </c>
      <c r="AD42" s="1125">
        <v>46084</v>
      </c>
      <c r="AE42" s="1126">
        <v>13205</v>
      </c>
      <c r="AF42" s="1024">
        <v>3094</v>
      </c>
      <c r="AG42" s="1125">
        <v>46144</v>
      </c>
      <c r="AH42" s="1126">
        <v>31434955</v>
      </c>
      <c r="AI42" s="1024">
        <v>2696</v>
      </c>
      <c r="AJ42" s="1125">
        <v>46147</v>
      </c>
      <c r="AK42" s="1124">
        <v>87435645</v>
      </c>
      <c r="AL42" s="1024">
        <v>2696</v>
      </c>
      <c r="AM42" s="1125">
        <v>46178</v>
      </c>
      <c r="AN42" s="1124">
        <v>59924705</v>
      </c>
      <c r="AO42" s="876" t="s">
        <v>819</v>
      </c>
    </row>
    <row r="43" spans="1:41" ht="13.2" x14ac:dyDescent="0.3">
      <c r="B43" s="801"/>
      <c r="C43" s="59" t="s">
        <v>444</v>
      </c>
      <c r="D43" s="453" t="str">
        <f t="shared" si="0"/>
        <v>KAORU HIGASHI ALCANTARA</v>
      </c>
      <c r="E43" s="802"/>
      <c r="F43" s="803"/>
      <c r="G43" s="804"/>
      <c r="H43" s="805">
        <v>2686</v>
      </c>
      <c r="I43" s="75">
        <v>45636</v>
      </c>
      <c r="J43" s="806" t="s">
        <v>448</v>
      </c>
      <c r="K43" s="805">
        <v>2686</v>
      </c>
      <c r="L43" s="75">
        <v>46001</v>
      </c>
      <c r="M43" s="806" t="s">
        <v>448</v>
      </c>
      <c r="N43" s="805">
        <v>2686</v>
      </c>
      <c r="O43" s="75">
        <v>45636</v>
      </c>
      <c r="P43" s="806" t="s">
        <v>448</v>
      </c>
      <c r="Q43" s="805">
        <v>2686</v>
      </c>
      <c r="R43" s="75">
        <v>46001</v>
      </c>
      <c r="S43" s="806" t="s">
        <v>477</v>
      </c>
      <c r="T43" s="805">
        <v>2686</v>
      </c>
      <c r="U43" s="75">
        <v>46001</v>
      </c>
      <c r="V43" s="806" t="s">
        <v>477</v>
      </c>
      <c r="W43" s="807"/>
      <c r="X43" s="803"/>
      <c r="Y43" s="808"/>
      <c r="Z43" s="805">
        <v>2686</v>
      </c>
      <c r="AA43" s="75">
        <v>46001</v>
      </c>
      <c r="AB43" s="806" t="s">
        <v>477</v>
      </c>
      <c r="AC43" s="805">
        <v>2686</v>
      </c>
      <c r="AD43" s="75">
        <v>46001</v>
      </c>
      <c r="AE43" s="809" t="s">
        <v>477</v>
      </c>
      <c r="AF43" s="805">
        <v>2686</v>
      </c>
      <c r="AG43" s="75">
        <v>46001</v>
      </c>
      <c r="AH43" s="809" t="s">
        <v>477</v>
      </c>
      <c r="AI43" s="805"/>
      <c r="AJ43" s="75"/>
      <c r="AK43" s="806"/>
      <c r="AL43" s="805"/>
      <c r="AM43" s="75"/>
      <c r="AN43" s="806"/>
      <c r="AO43" s="439" t="s">
        <v>816</v>
      </c>
    </row>
    <row r="44" spans="1:41" ht="13.2" x14ac:dyDescent="0.3">
      <c r="B44" s="801"/>
      <c r="C44" s="59"/>
      <c r="D44" s="810" t="str">
        <f t="shared" si="0"/>
        <v>AGNES DANIELLE JIMENEZ CALDERON</v>
      </c>
      <c r="E44" s="802"/>
      <c r="F44" s="803"/>
      <c r="G44" s="804"/>
      <c r="H44" s="805">
        <v>2686</v>
      </c>
      <c r="I44" s="75">
        <v>45904</v>
      </c>
      <c r="J44" s="806">
        <v>54232768</v>
      </c>
      <c r="K44" s="805">
        <v>2686</v>
      </c>
      <c r="L44" s="75">
        <v>45935</v>
      </c>
      <c r="M44" s="806">
        <v>68089812</v>
      </c>
      <c r="N44" s="805">
        <v>2686</v>
      </c>
      <c r="O44" s="75">
        <v>45964</v>
      </c>
      <c r="P44" s="806">
        <v>131756415619</v>
      </c>
      <c r="Q44" s="805">
        <v>3086</v>
      </c>
      <c r="R44" s="75">
        <v>46041</v>
      </c>
      <c r="S44" s="806">
        <v>1856412</v>
      </c>
      <c r="T44" s="805"/>
      <c r="U44" s="75"/>
      <c r="V44" s="806"/>
      <c r="W44" s="807"/>
      <c r="X44" s="803"/>
      <c r="Y44" s="808"/>
      <c r="Z44" s="805">
        <v>2686</v>
      </c>
      <c r="AA44" s="75">
        <v>46056</v>
      </c>
      <c r="AB44" s="809">
        <v>1454302255001</v>
      </c>
      <c r="AC44" s="805">
        <v>2686</v>
      </c>
      <c r="AD44" s="75">
        <v>46074</v>
      </c>
      <c r="AE44" s="809">
        <v>1856412</v>
      </c>
      <c r="AF44" s="805"/>
      <c r="AG44" s="75"/>
      <c r="AH44" s="811" t="s">
        <v>188</v>
      </c>
      <c r="AI44" s="805">
        <v>2686</v>
      </c>
      <c r="AJ44" s="75">
        <v>46147</v>
      </c>
      <c r="AK44" s="806">
        <v>157863535380</v>
      </c>
      <c r="AL44" s="805"/>
      <c r="AM44" s="75"/>
      <c r="AN44" s="806"/>
    </row>
    <row r="45" spans="1:41" ht="13.2" x14ac:dyDescent="0.3">
      <c r="B45" s="801"/>
      <c r="C45" s="59"/>
      <c r="D45" s="453" t="str">
        <f t="shared" si="0"/>
        <v xml:space="preserve">CESAR MATEO CRUZ LANDA </v>
      </c>
      <c r="E45" s="812">
        <v>2559</v>
      </c>
      <c r="F45" s="75">
        <v>45750</v>
      </c>
      <c r="G45" s="813">
        <v>20968661</v>
      </c>
      <c r="H45" s="805">
        <v>2559</v>
      </c>
      <c r="I45" s="75">
        <v>45903</v>
      </c>
      <c r="J45" s="806">
        <v>522224278</v>
      </c>
      <c r="K45" s="805">
        <v>2559</v>
      </c>
      <c r="L45" s="75">
        <v>45931</v>
      </c>
      <c r="M45" s="806">
        <v>3272717</v>
      </c>
      <c r="N45" s="805">
        <v>2559</v>
      </c>
      <c r="O45" s="75">
        <v>45963</v>
      </c>
      <c r="P45" s="806">
        <v>12699903</v>
      </c>
      <c r="Q45" s="805">
        <v>2559</v>
      </c>
      <c r="R45" s="75">
        <v>45995</v>
      </c>
      <c r="S45" s="806">
        <v>72361207</v>
      </c>
      <c r="T45" s="805">
        <v>2559</v>
      </c>
      <c r="U45" s="75">
        <v>46027</v>
      </c>
      <c r="V45" s="806">
        <v>617550</v>
      </c>
      <c r="W45" s="805">
        <v>2559</v>
      </c>
      <c r="X45" s="75">
        <v>46013</v>
      </c>
      <c r="Y45" s="806">
        <v>31898027</v>
      </c>
      <c r="Z45" s="805">
        <v>2559</v>
      </c>
      <c r="AA45" s="75">
        <v>46057</v>
      </c>
      <c r="AB45" s="809">
        <v>12399279</v>
      </c>
      <c r="AC45" s="805">
        <v>2559</v>
      </c>
      <c r="AD45" s="75">
        <v>46083</v>
      </c>
      <c r="AE45" s="809">
        <v>32751424</v>
      </c>
      <c r="AF45" s="805">
        <v>2559</v>
      </c>
      <c r="AG45" s="75">
        <v>46116</v>
      </c>
      <c r="AH45" s="809">
        <v>42076800</v>
      </c>
      <c r="AI45" s="805">
        <v>2559</v>
      </c>
      <c r="AJ45" s="75">
        <v>46146</v>
      </c>
      <c r="AK45" s="806">
        <v>91511543</v>
      </c>
      <c r="AL45" s="805">
        <v>2559</v>
      </c>
      <c r="AM45" s="75">
        <v>46176</v>
      </c>
      <c r="AN45" s="806">
        <v>14047772</v>
      </c>
      <c r="AO45" s="439" t="s">
        <v>816</v>
      </c>
    </row>
    <row r="46" spans="1:41" ht="13.2" x14ac:dyDescent="0.3">
      <c r="B46" s="801"/>
      <c r="C46" s="59"/>
      <c r="D46" s="453" t="str">
        <f t="shared" si="0"/>
        <v xml:space="preserve">THIAGO ALFONSO FUENTES </v>
      </c>
      <c r="E46" s="802"/>
      <c r="F46" s="803"/>
      <c r="G46" s="804"/>
      <c r="H46" s="805">
        <v>2239</v>
      </c>
      <c r="I46" s="75">
        <v>45903</v>
      </c>
      <c r="J46" s="806">
        <v>5537</v>
      </c>
      <c r="K46" s="805">
        <v>2239</v>
      </c>
      <c r="L46" s="75">
        <v>45934</v>
      </c>
      <c r="M46" s="806">
        <v>5537</v>
      </c>
      <c r="N46" s="805">
        <v>2239</v>
      </c>
      <c r="O46" s="75">
        <v>45967</v>
      </c>
      <c r="P46" s="806" t="s">
        <v>466</v>
      </c>
      <c r="Q46" s="805">
        <v>2239</v>
      </c>
      <c r="R46" s="75">
        <v>45997</v>
      </c>
      <c r="S46" s="806" t="s">
        <v>478</v>
      </c>
      <c r="T46" s="805">
        <v>2559</v>
      </c>
      <c r="U46" s="75">
        <v>46037</v>
      </c>
      <c r="V46" s="806" t="s">
        <v>497</v>
      </c>
      <c r="W46" s="807"/>
      <c r="X46" s="803"/>
      <c r="Y46" s="808"/>
      <c r="Z46" s="805">
        <v>2559</v>
      </c>
      <c r="AA46" s="75">
        <v>46068</v>
      </c>
      <c r="AB46" s="809" t="s">
        <v>498</v>
      </c>
      <c r="AC46" s="805">
        <v>2239</v>
      </c>
      <c r="AD46" s="75">
        <v>46082</v>
      </c>
      <c r="AE46" s="809">
        <v>5537</v>
      </c>
      <c r="AF46" s="805">
        <v>2239</v>
      </c>
      <c r="AG46" s="75">
        <v>46116</v>
      </c>
      <c r="AH46" s="809" t="s">
        <v>508</v>
      </c>
      <c r="AI46" s="805">
        <v>2239</v>
      </c>
      <c r="AJ46" s="75">
        <v>46144</v>
      </c>
      <c r="AK46" s="806" t="s">
        <v>72</v>
      </c>
      <c r="AL46" s="805">
        <v>2239</v>
      </c>
      <c r="AM46" s="75" t="s">
        <v>787</v>
      </c>
      <c r="AN46" s="806" t="s">
        <v>72</v>
      </c>
      <c r="AO46" s="439" t="s">
        <v>816</v>
      </c>
    </row>
    <row r="47" spans="1:41" ht="13.2" x14ac:dyDescent="0.3">
      <c r="B47" s="801"/>
      <c r="C47" s="59"/>
      <c r="D47" s="453" t="str">
        <f>D13</f>
        <v>ISABELLA FERNANDA PEREZ VELAZQUEZ</v>
      </c>
      <c r="E47" s="807"/>
      <c r="F47" s="803"/>
      <c r="G47" s="804"/>
      <c r="H47" s="805">
        <v>2559</v>
      </c>
      <c r="I47" s="75">
        <v>45901</v>
      </c>
      <c r="J47" s="806">
        <v>98502613</v>
      </c>
      <c r="K47" s="805">
        <v>2686</v>
      </c>
      <c r="L47" s="75">
        <v>45936</v>
      </c>
      <c r="M47" s="806">
        <v>910251</v>
      </c>
      <c r="N47" s="805">
        <v>2686</v>
      </c>
      <c r="O47" s="75">
        <v>45967</v>
      </c>
      <c r="P47" s="806">
        <v>47512693</v>
      </c>
      <c r="Q47" s="805">
        <v>2686</v>
      </c>
      <c r="R47" s="75">
        <v>45997</v>
      </c>
      <c r="S47" s="809">
        <v>9875463214</v>
      </c>
      <c r="T47" s="805">
        <v>2686</v>
      </c>
      <c r="U47" s="75">
        <v>46026</v>
      </c>
      <c r="V47" s="809">
        <v>1301260</v>
      </c>
      <c r="W47" s="807"/>
      <c r="X47" s="803"/>
      <c r="Y47" s="808"/>
      <c r="Z47" s="805">
        <v>2686</v>
      </c>
      <c r="AA47" s="75">
        <v>46082</v>
      </c>
      <c r="AB47" s="809">
        <v>73962594</v>
      </c>
      <c r="AC47" s="805">
        <v>2686</v>
      </c>
      <c r="AD47" s="75">
        <v>46124</v>
      </c>
      <c r="AE47" s="809">
        <v>90570999</v>
      </c>
      <c r="AF47" s="805">
        <v>2686</v>
      </c>
      <c r="AG47" s="75">
        <v>46133</v>
      </c>
      <c r="AH47" s="809">
        <v>2686</v>
      </c>
      <c r="AI47" s="814">
        <v>2728</v>
      </c>
      <c r="AJ47" s="85">
        <v>46148</v>
      </c>
      <c r="AK47" s="806">
        <v>11610122</v>
      </c>
      <c r="AL47" s="805">
        <v>2728</v>
      </c>
      <c r="AM47" s="75">
        <v>46177</v>
      </c>
      <c r="AN47" s="806">
        <v>45676335</v>
      </c>
      <c r="AO47" s="439" t="s">
        <v>816</v>
      </c>
    </row>
    <row r="48" spans="1:41" x14ac:dyDescent="0.25">
      <c r="B48" s="56"/>
      <c r="C48" s="59"/>
      <c r="D48" s="453" t="str">
        <f t="shared" si="0"/>
        <v>ASIEL ROQUE FUENTES</v>
      </c>
      <c r="E48" s="807"/>
      <c r="F48" s="803"/>
      <c r="G48" s="804"/>
      <c r="H48" s="805">
        <v>2686</v>
      </c>
      <c r="I48" s="75">
        <v>45901</v>
      </c>
      <c r="J48" s="806">
        <v>14157685</v>
      </c>
      <c r="K48" s="805">
        <v>3071</v>
      </c>
      <c r="L48" s="75">
        <v>45931</v>
      </c>
      <c r="M48" s="806">
        <v>6947927</v>
      </c>
      <c r="N48" s="805">
        <v>3071</v>
      </c>
      <c r="O48" s="75">
        <v>45964</v>
      </c>
      <c r="P48" s="806">
        <v>7507982</v>
      </c>
      <c r="Q48" s="805">
        <v>3071</v>
      </c>
      <c r="R48" s="75">
        <v>45994</v>
      </c>
      <c r="S48" s="806">
        <v>9025676</v>
      </c>
      <c r="T48" s="805">
        <v>3071</v>
      </c>
      <c r="U48" s="75">
        <v>46024</v>
      </c>
      <c r="V48" s="806">
        <v>54897621</v>
      </c>
      <c r="W48" s="807"/>
      <c r="X48" s="803"/>
      <c r="Y48" s="815"/>
      <c r="Z48" s="805">
        <v>3071</v>
      </c>
      <c r="AA48" s="75">
        <v>46055</v>
      </c>
      <c r="AB48" s="809">
        <v>4584316</v>
      </c>
      <c r="AC48" s="805">
        <v>3071</v>
      </c>
      <c r="AD48" s="75">
        <v>46086</v>
      </c>
      <c r="AE48" s="809">
        <v>77568016</v>
      </c>
      <c r="AF48" s="805">
        <v>3071</v>
      </c>
      <c r="AG48" s="75">
        <v>46113</v>
      </c>
      <c r="AH48" s="809">
        <v>6932914</v>
      </c>
      <c r="AI48" s="805">
        <v>3071</v>
      </c>
      <c r="AJ48" s="75">
        <v>46145</v>
      </c>
      <c r="AK48" s="806">
        <v>69346061</v>
      </c>
      <c r="AL48" s="805">
        <v>3071</v>
      </c>
      <c r="AM48" s="75">
        <v>46177</v>
      </c>
      <c r="AN48" s="806">
        <v>18480826</v>
      </c>
      <c r="AO48" s="439" t="s">
        <v>816</v>
      </c>
    </row>
    <row r="49" spans="2:41" x14ac:dyDescent="0.25">
      <c r="B49" s="56"/>
      <c r="C49" s="59"/>
      <c r="D49" s="453" t="str">
        <f t="shared" si="0"/>
        <v xml:space="preserve">ALEXANDRO VIDAL APOLINAR VELAZQUEZ </v>
      </c>
      <c r="E49" s="807"/>
      <c r="F49" s="803"/>
      <c r="G49" s="804"/>
      <c r="H49" s="805">
        <v>2559</v>
      </c>
      <c r="I49" s="75">
        <v>45901</v>
      </c>
      <c r="J49" s="806" t="s">
        <v>451</v>
      </c>
      <c r="K49" s="805">
        <v>2559</v>
      </c>
      <c r="L49" s="75">
        <v>45901</v>
      </c>
      <c r="M49" s="806" t="s">
        <v>451</v>
      </c>
      <c r="N49" s="805">
        <v>2559</v>
      </c>
      <c r="O49" s="75">
        <v>45901</v>
      </c>
      <c r="P49" s="806" t="s">
        <v>451</v>
      </c>
      <c r="Q49" s="805">
        <v>2559</v>
      </c>
      <c r="R49" s="75">
        <v>45901</v>
      </c>
      <c r="S49" s="806" t="s">
        <v>451</v>
      </c>
      <c r="T49" s="805">
        <v>2559</v>
      </c>
      <c r="U49" s="75">
        <v>45901</v>
      </c>
      <c r="V49" s="806" t="s">
        <v>451</v>
      </c>
      <c r="W49" s="807"/>
      <c r="X49" s="803"/>
      <c r="Y49" s="808"/>
      <c r="Z49" s="805">
        <v>2559</v>
      </c>
      <c r="AA49" s="75">
        <v>46058</v>
      </c>
      <c r="AB49" s="809">
        <v>50113171</v>
      </c>
      <c r="AC49" s="805">
        <v>2559</v>
      </c>
      <c r="AD49" s="75">
        <v>46058</v>
      </c>
      <c r="AE49" s="809">
        <v>50113171</v>
      </c>
      <c r="AF49" s="805">
        <v>2559</v>
      </c>
      <c r="AG49" s="75">
        <v>46058</v>
      </c>
      <c r="AH49" s="809">
        <v>50113171</v>
      </c>
      <c r="AI49" s="805">
        <v>2559</v>
      </c>
      <c r="AJ49" s="75">
        <v>46058</v>
      </c>
      <c r="AK49" s="806">
        <v>50113171</v>
      </c>
      <c r="AL49" s="805">
        <v>2559</v>
      </c>
      <c r="AM49" s="75">
        <v>46058</v>
      </c>
      <c r="AN49" s="806">
        <v>50113171</v>
      </c>
      <c r="AO49" s="439" t="s">
        <v>816</v>
      </c>
    </row>
    <row r="50" spans="2:41" ht="16.2" customHeight="1" x14ac:dyDescent="0.25">
      <c r="B50" s="56"/>
      <c r="C50" s="59"/>
      <c r="D50" s="453" t="str">
        <f t="shared" si="0"/>
        <v>AZAEL BAILON CANCINO</v>
      </c>
      <c r="E50" s="807"/>
      <c r="F50" s="803"/>
      <c r="G50" s="804"/>
      <c r="H50" s="805">
        <v>2686</v>
      </c>
      <c r="I50" s="75">
        <v>45904</v>
      </c>
      <c r="J50" s="806">
        <v>8.5901180014324704E+16</v>
      </c>
      <c r="K50" s="805">
        <v>2688</v>
      </c>
      <c r="L50" s="75">
        <v>45932</v>
      </c>
      <c r="M50" s="806">
        <v>8.5901609884327504E+16</v>
      </c>
      <c r="N50" s="805">
        <v>3000</v>
      </c>
      <c r="O50" s="75">
        <v>45966</v>
      </c>
      <c r="P50" s="806">
        <v>8.5901591574331392E+16</v>
      </c>
      <c r="Q50" s="805">
        <v>2680</v>
      </c>
      <c r="R50" s="75">
        <v>45996</v>
      </c>
      <c r="S50" s="806">
        <v>8.5902057434333904E+16</v>
      </c>
      <c r="T50" s="805">
        <v>2688</v>
      </c>
      <c r="U50" s="75">
        <v>46027</v>
      </c>
      <c r="V50" s="809">
        <v>8.5904067754301296E+16</v>
      </c>
      <c r="W50" s="807"/>
      <c r="X50" s="803"/>
      <c r="Y50" s="808"/>
      <c r="Z50" s="805">
        <v>2688</v>
      </c>
      <c r="AA50" s="75">
        <v>46058</v>
      </c>
      <c r="AB50" s="809" t="s">
        <v>438</v>
      </c>
      <c r="AC50" s="805">
        <v>3000</v>
      </c>
      <c r="AD50" s="75">
        <v>149289</v>
      </c>
      <c r="AE50" s="809">
        <v>8.5901492894307008E+16</v>
      </c>
      <c r="AF50" s="805">
        <v>2790</v>
      </c>
      <c r="AG50" s="75">
        <v>46118</v>
      </c>
      <c r="AH50" s="809">
        <v>8.59076202443096E+16</v>
      </c>
      <c r="AI50" s="805">
        <v>2780</v>
      </c>
      <c r="AJ50" s="75">
        <v>46134</v>
      </c>
      <c r="AK50" s="806">
        <v>311262</v>
      </c>
      <c r="AL50" s="805">
        <v>2780</v>
      </c>
      <c r="AM50" s="75">
        <v>46179</v>
      </c>
      <c r="AN50" s="806">
        <v>294315561</v>
      </c>
      <c r="AO50" s="439" t="s">
        <v>816</v>
      </c>
    </row>
    <row r="51" spans="2:41" x14ac:dyDescent="0.25">
      <c r="B51" s="56"/>
      <c r="C51" s="59"/>
      <c r="D51" s="453" t="str">
        <f t="shared" si="0"/>
        <v xml:space="preserve">MATEO CRUZ PORTILLA </v>
      </c>
      <c r="E51" s="807"/>
      <c r="F51" s="803"/>
      <c r="G51" s="804"/>
      <c r="H51" s="805">
        <v>2239</v>
      </c>
      <c r="I51" s="75">
        <v>45906</v>
      </c>
      <c r="J51" s="806">
        <v>8.5903392920327808E+16</v>
      </c>
      <c r="K51" s="805">
        <v>2239.3000000000002</v>
      </c>
      <c r="L51" s="75">
        <v>45935</v>
      </c>
      <c r="M51" s="806" t="s">
        <v>453</v>
      </c>
      <c r="N51" s="805">
        <v>2239.3000000000002</v>
      </c>
      <c r="O51" s="75">
        <v>45966</v>
      </c>
      <c r="P51" s="806">
        <v>241399</v>
      </c>
      <c r="Q51" s="805">
        <v>2239.3000000000002</v>
      </c>
      <c r="R51" s="75">
        <v>45996</v>
      </c>
      <c r="S51" s="806">
        <v>8.5909403960336496E+16</v>
      </c>
      <c r="T51" s="805">
        <v>2239.3000000000002</v>
      </c>
      <c r="U51" s="75">
        <v>46058</v>
      </c>
      <c r="V51" s="809">
        <v>617550</v>
      </c>
      <c r="W51" s="805"/>
      <c r="X51" s="75"/>
      <c r="Y51" s="806"/>
      <c r="Z51" s="805">
        <v>2239.3000000000002</v>
      </c>
      <c r="AA51" s="75">
        <v>46086</v>
      </c>
      <c r="AB51" s="809">
        <v>12399279</v>
      </c>
      <c r="AC51" s="805">
        <v>2239.3000000000002</v>
      </c>
      <c r="AD51" s="75">
        <v>46087</v>
      </c>
      <c r="AE51" s="809">
        <v>54879213</v>
      </c>
      <c r="AF51" s="805">
        <v>2239.3000000000002</v>
      </c>
      <c r="AG51" s="75">
        <v>46116</v>
      </c>
      <c r="AH51" s="809">
        <v>8.5901000370309408E+16</v>
      </c>
      <c r="AI51" s="805">
        <v>2239</v>
      </c>
      <c r="AJ51" s="75">
        <v>46146</v>
      </c>
      <c r="AK51" s="806">
        <v>312461</v>
      </c>
      <c r="AL51" s="805">
        <v>2634.3</v>
      </c>
      <c r="AM51" s="75">
        <v>46182</v>
      </c>
      <c r="AN51" s="806">
        <v>15761473</v>
      </c>
      <c r="AO51" s="439" t="s">
        <v>816</v>
      </c>
    </row>
    <row r="52" spans="2:41" x14ac:dyDescent="0.25">
      <c r="B52" s="1390"/>
      <c r="C52" s="1391"/>
      <c r="D52" s="453" t="str">
        <f t="shared" si="0"/>
        <v>DEREK ABDIEL PECH SANTIAGO</v>
      </c>
      <c r="E52" s="807"/>
      <c r="F52" s="803"/>
      <c r="G52" s="804"/>
      <c r="H52" s="805">
        <v>2879</v>
      </c>
      <c r="I52" s="75">
        <v>45903</v>
      </c>
      <c r="J52" s="806">
        <v>303799</v>
      </c>
      <c r="K52" s="805">
        <v>2879</v>
      </c>
      <c r="L52" s="75">
        <v>45937</v>
      </c>
      <c r="M52" s="806">
        <v>60314266</v>
      </c>
      <c r="N52" s="805">
        <v>2879</v>
      </c>
      <c r="O52" s="75">
        <v>45968</v>
      </c>
      <c r="P52" s="806">
        <v>86908758</v>
      </c>
      <c r="Q52" s="805">
        <v>2879</v>
      </c>
      <c r="R52" s="75">
        <v>46000</v>
      </c>
      <c r="S52" s="806">
        <v>1110858</v>
      </c>
      <c r="T52" s="805">
        <v>2879</v>
      </c>
      <c r="U52" s="75">
        <v>46027</v>
      </c>
      <c r="V52" s="809">
        <v>79837487</v>
      </c>
      <c r="W52" s="807"/>
      <c r="X52" s="803"/>
      <c r="Y52" s="808"/>
      <c r="Z52" s="816">
        <v>2879</v>
      </c>
      <c r="AA52" s="817">
        <v>46063</v>
      </c>
      <c r="AB52" s="809">
        <v>53689987</v>
      </c>
      <c r="AC52" s="818">
        <v>2879</v>
      </c>
      <c r="AD52" s="819">
        <v>46090</v>
      </c>
      <c r="AE52" s="809">
        <v>30510673</v>
      </c>
      <c r="AF52" s="805">
        <v>2879</v>
      </c>
      <c r="AG52" s="75">
        <v>46116</v>
      </c>
      <c r="AH52" s="809">
        <v>59083070</v>
      </c>
      <c r="AI52" s="816">
        <v>2879</v>
      </c>
      <c r="AJ52" s="817">
        <v>46153</v>
      </c>
      <c r="AK52" s="806">
        <v>54045648</v>
      </c>
      <c r="AL52" s="805">
        <v>2879</v>
      </c>
      <c r="AM52" s="75">
        <v>46181</v>
      </c>
      <c r="AN52" s="806">
        <v>61969047</v>
      </c>
      <c r="AO52" s="439" t="s">
        <v>819</v>
      </c>
    </row>
    <row r="53" spans="2:41" x14ac:dyDescent="0.25">
      <c r="B53" s="58"/>
      <c r="C53" s="59"/>
      <c r="D53" s="453" t="str">
        <f t="shared" si="0"/>
        <v>DIEGO LARA BARRERA</v>
      </c>
      <c r="E53" s="805">
        <v>2623</v>
      </c>
      <c r="F53" s="75">
        <v>45905</v>
      </c>
      <c r="G53" s="813" t="s">
        <v>434</v>
      </c>
      <c r="H53" s="805">
        <v>2623</v>
      </c>
      <c r="I53" s="75">
        <v>45905</v>
      </c>
      <c r="J53" s="806" t="s">
        <v>433</v>
      </c>
      <c r="K53" s="805">
        <v>2623</v>
      </c>
      <c r="L53" s="75">
        <v>45926</v>
      </c>
      <c r="M53" s="806" t="s">
        <v>455</v>
      </c>
      <c r="N53" s="805">
        <v>2623</v>
      </c>
      <c r="O53" s="75">
        <v>45965</v>
      </c>
      <c r="P53" s="806" t="s">
        <v>467</v>
      </c>
      <c r="Q53" s="805">
        <v>3023</v>
      </c>
      <c r="R53" s="75">
        <v>46036</v>
      </c>
      <c r="S53" s="806" t="s">
        <v>486</v>
      </c>
      <c r="T53" s="805">
        <v>3023</v>
      </c>
      <c r="U53" s="75">
        <v>46036</v>
      </c>
      <c r="V53" s="806" t="s">
        <v>486</v>
      </c>
      <c r="W53" s="805">
        <v>2623</v>
      </c>
      <c r="X53" s="75">
        <v>46207</v>
      </c>
      <c r="Y53" s="806">
        <v>78564</v>
      </c>
      <c r="Z53" s="805">
        <v>3023</v>
      </c>
      <c r="AA53" s="75">
        <v>46036</v>
      </c>
      <c r="AB53" s="809" t="s">
        <v>486</v>
      </c>
      <c r="AC53" s="805">
        <v>2623</v>
      </c>
      <c r="AD53" s="75">
        <v>46085</v>
      </c>
      <c r="AE53" s="809" t="s">
        <v>504</v>
      </c>
      <c r="AF53" s="805">
        <v>3023</v>
      </c>
      <c r="AG53" s="75">
        <v>46143</v>
      </c>
      <c r="AH53" s="809" t="s">
        <v>517</v>
      </c>
      <c r="AI53" s="805">
        <v>2623</v>
      </c>
      <c r="AJ53" s="75">
        <v>46143</v>
      </c>
      <c r="AK53" s="806">
        <v>740</v>
      </c>
      <c r="AL53" s="805">
        <v>2623</v>
      </c>
      <c r="AM53" s="75">
        <v>46176</v>
      </c>
      <c r="AN53" s="806">
        <v>44773</v>
      </c>
      <c r="AO53" s="439" t="s">
        <v>819</v>
      </c>
    </row>
    <row r="54" spans="2:41" x14ac:dyDescent="0.25">
      <c r="B54" s="58"/>
      <c r="C54" s="59"/>
      <c r="D54" s="453" t="str">
        <f t="shared" si="0"/>
        <v xml:space="preserve">SEBASTIAN CARRASCO RAMIREZ </v>
      </c>
      <c r="E54" s="807"/>
      <c r="F54" s="803"/>
      <c r="G54" s="804"/>
      <c r="H54" s="805">
        <v>2239</v>
      </c>
      <c r="I54" s="75">
        <v>45903</v>
      </c>
      <c r="J54" s="806">
        <v>250903</v>
      </c>
      <c r="K54" s="805">
        <v>2239</v>
      </c>
      <c r="L54" s="75">
        <v>45932</v>
      </c>
      <c r="M54" s="806">
        <v>251001</v>
      </c>
      <c r="N54" s="805">
        <v>2239</v>
      </c>
      <c r="O54" s="75">
        <v>45966</v>
      </c>
      <c r="P54" s="806">
        <v>4525</v>
      </c>
      <c r="Q54" s="805">
        <v>2239</v>
      </c>
      <c r="R54" s="75">
        <v>45992</v>
      </c>
      <c r="S54" s="806">
        <v>251201</v>
      </c>
      <c r="T54" s="805">
        <v>2239</v>
      </c>
      <c r="U54" s="75">
        <v>46027</v>
      </c>
      <c r="V54" s="809">
        <v>6715</v>
      </c>
      <c r="W54" s="807"/>
      <c r="X54" s="803"/>
      <c r="Y54" s="820"/>
      <c r="Z54" s="805">
        <v>2239</v>
      </c>
      <c r="AA54" s="75">
        <v>46058</v>
      </c>
      <c r="AB54" s="809">
        <v>260205</v>
      </c>
      <c r="AC54" s="814">
        <v>2239</v>
      </c>
      <c r="AD54" s="85">
        <v>46087</v>
      </c>
      <c r="AE54" s="821">
        <v>260306</v>
      </c>
      <c r="AF54" s="814">
        <v>2239</v>
      </c>
      <c r="AG54" s="85">
        <v>46119</v>
      </c>
      <c r="AH54" s="809" t="s">
        <v>509</v>
      </c>
      <c r="AI54" s="814">
        <v>2623</v>
      </c>
      <c r="AJ54" s="85">
        <v>46148</v>
      </c>
      <c r="AK54" s="806">
        <v>119640</v>
      </c>
      <c r="AL54" s="805">
        <v>2239</v>
      </c>
      <c r="AM54" s="75">
        <v>46180</v>
      </c>
      <c r="AN54" s="806">
        <v>272659</v>
      </c>
      <c r="AO54" s="439" t="s">
        <v>816</v>
      </c>
    </row>
    <row r="55" spans="2:41" x14ac:dyDescent="0.25">
      <c r="B55" s="58"/>
      <c r="C55" s="59"/>
      <c r="D55" s="1019" t="str">
        <f t="shared" si="0"/>
        <v xml:space="preserve">MARCELO IVAN CRUZ GARCIA </v>
      </c>
      <c r="E55" s="822"/>
      <c r="F55" s="823"/>
      <c r="G55" s="824"/>
      <c r="H55" s="805">
        <v>2623</v>
      </c>
      <c r="I55" s="75">
        <v>45909</v>
      </c>
      <c r="J55" s="806">
        <v>98386086</v>
      </c>
      <c r="K55" s="805">
        <v>2623</v>
      </c>
      <c r="L55" s="75">
        <v>45935</v>
      </c>
      <c r="M55" s="806">
        <v>58281065</v>
      </c>
      <c r="N55" s="805">
        <v>2623</v>
      </c>
      <c r="O55" s="75">
        <v>45966</v>
      </c>
      <c r="P55" s="806">
        <v>55095766</v>
      </c>
      <c r="Q55" s="805">
        <v>2623</v>
      </c>
      <c r="R55" s="75">
        <v>46387</v>
      </c>
      <c r="S55" s="806">
        <v>37952963</v>
      </c>
      <c r="T55" s="805">
        <v>2623</v>
      </c>
      <c r="U55" s="75">
        <v>46387</v>
      </c>
      <c r="V55" s="806">
        <v>37952963</v>
      </c>
      <c r="W55" s="805">
        <v>2623</v>
      </c>
      <c r="X55" s="75">
        <v>46387</v>
      </c>
      <c r="Y55" s="806">
        <v>37952963</v>
      </c>
      <c r="Z55" s="805">
        <v>2623</v>
      </c>
      <c r="AA55" s="75">
        <v>46085</v>
      </c>
      <c r="AB55" s="809">
        <v>32766805</v>
      </c>
      <c r="AC55" s="805">
        <v>2623</v>
      </c>
      <c r="AD55" s="75">
        <v>46085</v>
      </c>
      <c r="AE55" s="809">
        <v>29259165</v>
      </c>
      <c r="AF55" s="805">
        <v>2623</v>
      </c>
      <c r="AG55" s="75">
        <v>46138</v>
      </c>
      <c r="AH55" s="809">
        <v>1185606</v>
      </c>
      <c r="AI55" s="805">
        <v>2623</v>
      </c>
      <c r="AJ55" s="75">
        <v>46147</v>
      </c>
      <c r="AK55" s="806">
        <v>4528832</v>
      </c>
      <c r="AL55" s="805">
        <v>3023</v>
      </c>
      <c r="AM55" s="75">
        <v>46191</v>
      </c>
      <c r="AN55" s="806">
        <v>54380000</v>
      </c>
    </row>
    <row r="56" spans="2:41" x14ac:dyDescent="0.25">
      <c r="B56" s="58"/>
      <c r="C56" s="59"/>
      <c r="D56" s="453" t="str">
        <f t="shared" si="0"/>
        <v>JOSUE VALENCIA OCAMPO</v>
      </c>
      <c r="E56" s="822"/>
      <c r="F56" s="823"/>
      <c r="G56" s="824"/>
      <c r="H56" s="805">
        <v>2686</v>
      </c>
      <c r="I56" s="75">
        <v>45905</v>
      </c>
      <c r="J56" s="809">
        <v>4548</v>
      </c>
      <c r="K56" s="805">
        <v>2686</v>
      </c>
      <c r="L56" s="75">
        <v>45933</v>
      </c>
      <c r="M56" s="809">
        <v>3935</v>
      </c>
      <c r="N56" s="805">
        <v>2686</v>
      </c>
      <c r="O56" s="75">
        <v>45966</v>
      </c>
      <c r="P56" s="809">
        <v>2911</v>
      </c>
      <c r="Q56" s="805">
        <v>2686</v>
      </c>
      <c r="R56" s="75">
        <v>45997</v>
      </c>
      <c r="S56" s="809">
        <v>7701</v>
      </c>
      <c r="T56" s="805">
        <v>2686</v>
      </c>
      <c r="U56" s="75">
        <v>46027</v>
      </c>
      <c r="V56" s="809">
        <v>5478</v>
      </c>
      <c r="W56" s="807"/>
      <c r="X56" s="803"/>
      <c r="Y56" s="808"/>
      <c r="Z56" s="805">
        <v>2786</v>
      </c>
      <c r="AA56" s="75">
        <v>46058</v>
      </c>
      <c r="AB56" s="809">
        <v>9519</v>
      </c>
      <c r="AC56" s="805">
        <v>2786</v>
      </c>
      <c r="AD56" s="75">
        <v>46086</v>
      </c>
      <c r="AE56" s="809">
        <v>1169</v>
      </c>
      <c r="AF56" s="805">
        <v>2686</v>
      </c>
      <c r="AG56" s="75">
        <v>46107</v>
      </c>
      <c r="AH56" s="809">
        <v>1478</v>
      </c>
      <c r="AI56" s="805">
        <v>2786</v>
      </c>
      <c r="AJ56" s="75">
        <v>46146</v>
      </c>
      <c r="AK56" s="806" t="s">
        <v>520</v>
      </c>
      <c r="AL56" s="805">
        <v>2786</v>
      </c>
      <c r="AM56" s="75" t="s">
        <v>780</v>
      </c>
      <c r="AN56" s="806" t="s">
        <v>779</v>
      </c>
      <c r="AO56" s="439" t="s">
        <v>816</v>
      </c>
    </row>
    <row r="57" spans="2:41" x14ac:dyDescent="0.25">
      <c r="B57" s="58"/>
      <c r="C57" s="59"/>
      <c r="D57" s="453" t="str">
        <f t="shared" si="0"/>
        <v>JUAN SEBASTIAN PEREZ SANTOS</v>
      </c>
      <c r="E57" s="822"/>
      <c r="F57" s="823"/>
      <c r="G57" s="824"/>
      <c r="H57" s="805">
        <v>1800</v>
      </c>
      <c r="I57" s="75">
        <v>45901</v>
      </c>
      <c r="J57" s="809">
        <v>5884235</v>
      </c>
      <c r="K57" s="805">
        <v>1800</v>
      </c>
      <c r="L57" s="75">
        <v>45936</v>
      </c>
      <c r="M57" s="806">
        <v>754869</v>
      </c>
      <c r="N57" s="805">
        <v>1800</v>
      </c>
      <c r="O57" s="75">
        <v>45967</v>
      </c>
      <c r="P57" s="806">
        <v>1512114</v>
      </c>
      <c r="Q57" s="805">
        <v>1800</v>
      </c>
      <c r="R57" s="75">
        <v>45993</v>
      </c>
      <c r="S57" s="809">
        <v>9845027</v>
      </c>
      <c r="T57" s="805">
        <v>1800</v>
      </c>
      <c r="U57" s="75">
        <v>46069</v>
      </c>
      <c r="V57" s="809" t="s">
        <v>499</v>
      </c>
      <c r="W57" s="805"/>
      <c r="X57" s="75"/>
      <c r="Y57" s="806"/>
      <c r="Z57" s="805">
        <v>1800</v>
      </c>
      <c r="AA57" s="75">
        <v>46058</v>
      </c>
      <c r="AB57" s="809">
        <v>54789631</v>
      </c>
      <c r="AC57" s="805">
        <v>1800</v>
      </c>
      <c r="AD57" s="75">
        <v>46086</v>
      </c>
      <c r="AE57" s="809">
        <v>43035</v>
      </c>
      <c r="AF57" s="805">
        <v>1800</v>
      </c>
      <c r="AG57" s="75">
        <v>46114</v>
      </c>
      <c r="AH57" s="809">
        <v>44056</v>
      </c>
      <c r="AI57" s="814">
        <v>1800</v>
      </c>
      <c r="AJ57" s="85">
        <v>46149</v>
      </c>
      <c r="AK57" s="825" t="s">
        <v>526</v>
      </c>
      <c r="AL57" s="805">
        <v>1800</v>
      </c>
      <c r="AM57" s="75">
        <v>46181</v>
      </c>
      <c r="AN57" s="806" t="s">
        <v>794</v>
      </c>
      <c r="AO57" s="439" t="s">
        <v>819</v>
      </c>
    </row>
    <row r="58" spans="2:41" x14ac:dyDescent="0.25">
      <c r="B58" s="310"/>
      <c r="C58" s="311"/>
      <c r="D58" s="453" t="str">
        <f t="shared" si="0"/>
        <v>GABRIEL ARRIAGA PEREZ</v>
      </c>
      <c r="E58" s="826">
        <v>2399.25</v>
      </c>
      <c r="F58" s="827">
        <v>45870</v>
      </c>
      <c r="G58" s="828">
        <v>90182870</v>
      </c>
      <c r="H58" s="826">
        <v>2399.25</v>
      </c>
      <c r="I58" s="827">
        <v>45901</v>
      </c>
      <c r="J58" s="829">
        <v>11269419</v>
      </c>
      <c r="K58" s="826">
        <v>2399.25</v>
      </c>
      <c r="L58" s="827">
        <v>45931</v>
      </c>
      <c r="M58" s="830">
        <v>67517233</v>
      </c>
      <c r="N58" s="826">
        <v>2239.25</v>
      </c>
      <c r="O58" s="827">
        <v>45966</v>
      </c>
      <c r="P58" s="830">
        <v>93903453</v>
      </c>
      <c r="Q58" s="826">
        <v>2399.25</v>
      </c>
      <c r="R58" s="827">
        <v>45992</v>
      </c>
      <c r="S58" s="829">
        <v>16865832</v>
      </c>
      <c r="T58" s="826">
        <v>2399.25</v>
      </c>
      <c r="U58" s="827">
        <v>46028</v>
      </c>
      <c r="V58" s="829">
        <v>67285183</v>
      </c>
      <c r="W58" s="826">
        <v>2399.25</v>
      </c>
      <c r="X58" s="827">
        <v>46022</v>
      </c>
      <c r="Y58" s="830">
        <v>76766709</v>
      </c>
      <c r="Z58" s="826">
        <v>2399.25</v>
      </c>
      <c r="AA58" s="827">
        <v>46144</v>
      </c>
      <c r="AB58" s="829">
        <v>11139369</v>
      </c>
      <c r="AC58" s="826">
        <v>2399.25</v>
      </c>
      <c r="AD58" s="827">
        <v>46085</v>
      </c>
      <c r="AE58" s="829">
        <v>16863636</v>
      </c>
      <c r="AF58" s="826">
        <v>2399.25</v>
      </c>
      <c r="AG58" s="827">
        <v>46117</v>
      </c>
      <c r="AH58" s="829">
        <v>35295225</v>
      </c>
      <c r="AI58" s="826">
        <v>2399</v>
      </c>
      <c r="AJ58" s="827">
        <v>46147</v>
      </c>
      <c r="AK58" s="830">
        <v>72232916</v>
      </c>
      <c r="AL58" s="826">
        <v>2399.25</v>
      </c>
      <c r="AM58" s="827">
        <v>46174</v>
      </c>
      <c r="AN58" s="830">
        <v>94515748</v>
      </c>
      <c r="AO58" s="439" t="s">
        <v>816</v>
      </c>
    </row>
    <row r="59" spans="2:41" ht="18.600000000000001" customHeight="1" x14ac:dyDescent="0.25">
      <c r="B59" s="310"/>
      <c r="C59" s="311"/>
      <c r="D59" s="810" t="str">
        <f t="shared" si="0"/>
        <v>LUIS EDUARDO GUITARTH MARTINEZ</v>
      </c>
      <c r="E59" s="831"/>
      <c r="F59" s="832"/>
      <c r="G59" s="833"/>
      <c r="H59" s="826">
        <v>2686</v>
      </c>
      <c r="I59" s="827">
        <v>45910</v>
      </c>
      <c r="J59" s="829">
        <v>54869750</v>
      </c>
      <c r="K59" s="826">
        <v>3086</v>
      </c>
      <c r="L59" s="827">
        <v>45971</v>
      </c>
      <c r="M59" s="830">
        <v>8.5904519140331392E+16</v>
      </c>
      <c r="N59" s="826">
        <v>2686</v>
      </c>
      <c r="O59" s="827">
        <v>45965</v>
      </c>
      <c r="P59" s="830">
        <v>8.59048301303308E+16</v>
      </c>
      <c r="Q59" s="826">
        <v>2686</v>
      </c>
      <c r="R59" s="827">
        <v>46010</v>
      </c>
      <c r="S59" s="829">
        <v>8.5903469420335296E+16</v>
      </c>
      <c r="T59" s="826">
        <v>2686</v>
      </c>
      <c r="U59" s="827">
        <v>46027</v>
      </c>
      <c r="V59" s="829">
        <v>8.5906030910301408E+16</v>
      </c>
      <c r="W59" s="834"/>
      <c r="X59" s="835"/>
      <c r="Y59" s="836"/>
      <c r="Z59" s="826">
        <v>2686</v>
      </c>
      <c r="AA59" s="827">
        <v>46056</v>
      </c>
      <c r="AB59" s="829">
        <v>8.59007592003072E+16</v>
      </c>
      <c r="AC59" s="826">
        <v>2686</v>
      </c>
      <c r="AD59" s="827">
        <v>46094</v>
      </c>
      <c r="AE59" s="829">
        <v>8.59007592003072E+16</v>
      </c>
      <c r="AF59" s="826"/>
      <c r="AG59" s="827"/>
      <c r="AH59" s="837" t="s">
        <v>715</v>
      </c>
      <c r="AI59" s="826">
        <v>2686</v>
      </c>
      <c r="AJ59" s="827">
        <v>46147</v>
      </c>
      <c r="AK59" s="830">
        <v>312563</v>
      </c>
      <c r="AL59" s="826">
        <v>2686</v>
      </c>
      <c r="AM59" s="827" t="s">
        <v>781</v>
      </c>
      <c r="AN59" s="830" t="s">
        <v>788</v>
      </c>
      <c r="AO59" s="439" t="s">
        <v>819</v>
      </c>
    </row>
    <row r="60" spans="2:41" x14ac:dyDescent="0.25">
      <c r="B60" s="310"/>
      <c r="C60" s="311"/>
      <c r="D60" s="453" t="str">
        <f t="shared" si="0"/>
        <v xml:space="preserve">CLAUDIA MARIA CASTRO CAMACHO </v>
      </c>
      <c r="E60" s="826">
        <v>2879</v>
      </c>
      <c r="F60" s="827">
        <v>45895</v>
      </c>
      <c r="G60" s="828">
        <v>35154</v>
      </c>
      <c r="H60" s="826">
        <v>2879</v>
      </c>
      <c r="I60" s="827">
        <v>45895</v>
      </c>
      <c r="J60" s="829">
        <v>35154</v>
      </c>
      <c r="K60" s="826">
        <v>2879</v>
      </c>
      <c r="L60" s="827">
        <v>45937</v>
      </c>
      <c r="M60" s="830">
        <v>852805</v>
      </c>
      <c r="N60" s="826">
        <v>3279</v>
      </c>
      <c r="O60" s="827">
        <v>45974</v>
      </c>
      <c r="P60" s="830">
        <v>8.5900595004332E+16</v>
      </c>
      <c r="Q60" s="826">
        <v>2879</v>
      </c>
      <c r="R60" s="827">
        <v>45992</v>
      </c>
      <c r="S60" s="829">
        <v>8.5908006194333504E+16</v>
      </c>
      <c r="T60" s="826">
        <v>2879</v>
      </c>
      <c r="U60" s="827">
        <v>46024</v>
      </c>
      <c r="V60" s="829" t="s">
        <v>484</v>
      </c>
      <c r="W60" s="834"/>
      <c r="X60" s="835"/>
      <c r="Y60" s="836"/>
      <c r="Z60" s="826">
        <v>2879</v>
      </c>
      <c r="AA60" s="827">
        <v>46058</v>
      </c>
      <c r="AB60" s="827">
        <v>8.5906901584303504E+16</v>
      </c>
      <c r="AC60" s="826">
        <v>2879</v>
      </c>
      <c r="AD60" s="827">
        <v>46080</v>
      </c>
      <c r="AE60" s="829">
        <v>648883</v>
      </c>
      <c r="AF60" s="826">
        <v>2879</v>
      </c>
      <c r="AG60" s="827">
        <v>46112</v>
      </c>
      <c r="AH60" s="829">
        <v>8.0900839524308992E+16</v>
      </c>
      <c r="AI60" s="826">
        <v>3279</v>
      </c>
      <c r="AJ60" s="827">
        <v>46153</v>
      </c>
      <c r="AK60" s="830">
        <v>667628</v>
      </c>
      <c r="AL60" s="826">
        <v>2879</v>
      </c>
      <c r="AM60" s="827">
        <v>46174</v>
      </c>
      <c r="AN60" s="830">
        <v>725120</v>
      </c>
      <c r="AO60" s="439" t="s">
        <v>819</v>
      </c>
    </row>
    <row r="61" spans="2:41" x14ac:dyDescent="0.25">
      <c r="B61" s="310"/>
      <c r="C61" s="311"/>
      <c r="D61" s="453" t="str">
        <f t="shared" si="0"/>
        <v>LIAM HANIEL ROBLES LIMON</v>
      </c>
      <c r="E61" s="831"/>
      <c r="F61" s="832"/>
      <c r="G61" s="833"/>
      <c r="H61" s="826">
        <v>2800</v>
      </c>
      <c r="I61" s="827">
        <v>45954</v>
      </c>
      <c r="J61" s="829">
        <v>9464</v>
      </c>
      <c r="K61" s="826">
        <v>2800</v>
      </c>
      <c r="L61" s="827">
        <v>45937</v>
      </c>
      <c r="M61" s="830">
        <v>9464</v>
      </c>
      <c r="N61" s="826">
        <v>2400</v>
      </c>
      <c r="O61" s="827">
        <v>45966</v>
      </c>
      <c r="P61" s="830" t="s">
        <v>465</v>
      </c>
      <c r="Q61" s="826">
        <v>2400</v>
      </c>
      <c r="R61" s="827">
        <v>45998</v>
      </c>
      <c r="S61" s="829">
        <v>4102</v>
      </c>
      <c r="T61" s="826">
        <v>2800</v>
      </c>
      <c r="U61" s="827">
        <v>46058</v>
      </c>
      <c r="V61" s="829">
        <v>9464</v>
      </c>
      <c r="W61" s="826">
        <v>2400</v>
      </c>
      <c r="X61" s="827">
        <v>45998</v>
      </c>
      <c r="Y61" s="830">
        <v>4102</v>
      </c>
      <c r="Z61" s="826">
        <v>2400</v>
      </c>
      <c r="AA61" s="827">
        <v>46058</v>
      </c>
      <c r="AB61" s="829">
        <v>9464</v>
      </c>
      <c r="AC61" s="826">
        <v>2400</v>
      </c>
      <c r="AD61" s="827">
        <v>46088</v>
      </c>
      <c r="AE61" s="829" t="s">
        <v>465</v>
      </c>
      <c r="AF61" s="826">
        <v>2400</v>
      </c>
      <c r="AG61" s="827">
        <v>46117</v>
      </c>
      <c r="AH61" s="829" t="s">
        <v>465</v>
      </c>
      <c r="AI61" s="838">
        <v>2400</v>
      </c>
      <c r="AJ61" s="839">
        <v>46148</v>
      </c>
      <c r="AK61" s="830" t="s">
        <v>525</v>
      </c>
      <c r="AL61" s="826">
        <v>2800</v>
      </c>
      <c r="AM61" s="827" t="s">
        <v>834</v>
      </c>
      <c r="AN61" s="830">
        <v>7576</v>
      </c>
    </row>
    <row r="62" spans="2:41" x14ac:dyDescent="0.25">
      <c r="B62" s="310"/>
      <c r="C62" s="311"/>
      <c r="D62" s="453" t="str">
        <f t="shared" si="0"/>
        <v>DIANA MARTINEZ MENDOZA</v>
      </c>
      <c r="E62" s="826">
        <v>2239</v>
      </c>
      <c r="F62" s="827">
        <v>45903</v>
      </c>
      <c r="G62" s="828" t="s">
        <v>447</v>
      </c>
      <c r="H62" s="826">
        <v>2239</v>
      </c>
      <c r="I62" s="827">
        <v>45934</v>
      </c>
      <c r="J62" s="829" t="s">
        <v>447</v>
      </c>
      <c r="K62" s="826">
        <v>2239</v>
      </c>
      <c r="L62" s="827">
        <v>45934</v>
      </c>
      <c r="M62" s="830">
        <v>62478</v>
      </c>
      <c r="N62" s="826">
        <v>2239</v>
      </c>
      <c r="O62" s="827">
        <v>45966</v>
      </c>
      <c r="P62" s="830">
        <v>111250</v>
      </c>
      <c r="Q62" s="826">
        <v>2239</v>
      </c>
      <c r="R62" s="827">
        <v>45996</v>
      </c>
      <c r="S62" s="829">
        <v>68541263</v>
      </c>
      <c r="T62" s="826">
        <v>2239</v>
      </c>
      <c r="U62" s="827">
        <v>46058</v>
      </c>
      <c r="V62" s="829">
        <v>87964123</v>
      </c>
      <c r="W62" s="826">
        <v>2239</v>
      </c>
      <c r="X62" s="827">
        <v>46007</v>
      </c>
      <c r="Y62" s="830">
        <v>280516</v>
      </c>
      <c r="Z62" s="826">
        <v>2239</v>
      </c>
      <c r="AA62" s="827">
        <v>46059</v>
      </c>
      <c r="AB62" s="829">
        <v>60260</v>
      </c>
      <c r="AC62" s="826">
        <v>2239</v>
      </c>
      <c r="AD62" s="827">
        <v>46086</v>
      </c>
      <c r="AE62" s="829">
        <v>897451</v>
      </c>
      <c r="AF62" s="826">
        <v>2230</v>
      </c>
      <c r="AG62" s="827">
        <v>46115</v>
      </c>
      <c r="AH62" s="829">
        <v>304261</v>
      </c>
      <c r="AI62" s="826">
        <v>2239</v>
      </c>
      <c r="AJ62" s="827">
        <v>46143</v>
      </c>
      <c r="AK62" s="830">
        <v>25654750</v>
      </c>
      <c r="AL62" s="826">
        <v>2239</v>
      </c>
      <c r="AM62" s="827">
        <v>46177</v>
      </c>
      <c r="AN62" s="830">
        <v>406261</v>
      </c>
      <c r="AO62" s="439" t="s">
        <v>816</v>
      </c>
    </row>
    <row r="63" spans="2:41" x14ac:dyDescent="0.25">
      <c r="B63" s="310"/>
      <c r="C63" s="311" t="s">
        <v>789</v>
      </c>
      <c r="D63" s="960" t="str">
        <f t="shared" si="0"/>
        <v>CONTRERAS PALACIONS KEIDY ISABELLA</v>
      </c>
      <c r="E63" s="831"/>
      <c r="F63" s="832"/>
      <c r="G63" s="833"/>
      <c r="H63" s="826">
        <v>2239</v>
      </c>
      <c r="I63" s="827">
        <v>45904</v>
      </c>
      <c r="J63" s="829">
        <v>943575</v>
      </c>
      <c r="K63" s="826">
        <v>2239</v>
      </c>
      <c r="L63" s="827">
        <v>45944</v>
      </c>
      <c r="M63" s="830">
        <v>495753</v>
      </c>
      <c r="N63" s="826">
        <v>2239</v>
      </c>
      <c r="O63" s="827">
        <v>45944</v>
      </c>
      <c r="P63" s="830">
        <v>495753</v>
      </c>
      <c r="Q63" s="826">
        <v>2239</v>
      </c>
      <c r="R63" s="827">
        <v>45944</v>
      </c>
      <c r="S63" s="829">
        <v>495753</v>
      </c>
      <c r="T63" s="826">
        <v>2239</v>
      </c>
      <c r="U63" s="827">
        <v>45944</v>
      </c>
      <c r="V63" s="829">
        <v>495753</v>
      </c>
      <c r="W63" s="826">
        <v>2239</v>
      </c>
      <c r="X63" s="827">
        <v>45944</v>
      </c>
      <c r="Y63" s="830">
        <v>495753</v>
      </c>
      <c r="Z63" s="826">
        <v>2239</v>
      </c>
      <c r="AA63" s="827">
        <v>45944</v>
      </c>
      <c r="AB63" s="829">
        <v>495753</v>
      </c>
      <c r="AC63" s="826">
        <v>2239</v>
      </c>
      <c r="AD63" s="827">
        <v>45944</v>
      </c>
      <c r="AE63" s="829">
        <v>495753</v>
      </c>
      <c r="AF63" s="826">
        <v>2239</v>
      </c>
      <c r="AG63" s="827">
        <v>45944</v>
      </c>
      <c r="AH63" s="829">
        <v>495753</v>
      </c>
      <c r="AI63" s="826">
        <v>2239</v>
      </c>
      <c r="AJ63" s="827">
        <v>45944</v>
      </c>
      <c r="AK63" s="829">
        <v>495753</v>
      </c>
      <c r="AL63" s="826"/>
      <c r="AM63" s="827"/>
      <c r="AN63" s="830"/>
      <c r="AO63" s="439" t="s">
        <v>819</v>
      </c>
    </row>
    <row r="64" spans="2:41" x14ac:dyDescent="0.25">
      <c r="B64" s="310"/>
      <c r="C64" s="311"/>
      <c r="D64" s="453" t="str">
        <f t="shared" si="0"/>
        <v>ATENEA ALESSANDRA USCANGA TOLEDO</v>
      </c>
      <c r="E64" s="826">
        <v>2623</v>
      </c>
      <c r="F64" s="827">
        <v>45873</v>
      </c>
      <c r="G64" s="828">
        <v>49196170</v>
      </c>
      <c r="H64" s="826">
        <v>2623</v>
      </c>
      <c r="I64" s="827">
        <v>45903</v>
      </c>
      <c r="J64" s="829">
        <v>8810273</v>
      </c>
      <c r="K64" s="826">
        <v>2623</v>
      </c>
      <c r="L64" s="827">
        <v>45931</v>
      </c>
      <c r="M64" s="830">
        <v>19906239</v>
      </c>
      <c r="N64" s="826">
        <v>2623</v>
      </c>
      <c r="O64" s="827">
        <v>45966</v>
      </c>
      <c r="P64" s="830">
        <v>12118880</v>
      </c>
      <c r="Q64" s="826">
        <v>2623</v>
      </c>
      <c r="R64" s="827">
        <v>45992</v>
      </c>
      <c r="S64" s="829">
        <v>8814856</v>
      </c>
      <c r="T64" s="826">
        <v>2623</v>
      </c>
      <c r="U64" s="827">
        <v>46027</v>
      </c>
      <c r="V64" s="829">
        <v>72906408</v>
      </c>
      <c r="W64" s="826">
        <v>2623</v>
      </c>
      <c r="X64" s="827">
        <v>45992</v>
      </c>
      <c r="Y64" s="829">
        <v>8814856</v>
      </c>
      <c r="Z64" s="826">
        <v>2623</v>
      </c>
      <c r="AA64" s="827">
        <v>46057</v>
      </c>
      <c r="AB64" s="829">
        <v>76506622</v>
      </c>
      <c r="AC64" s="826">
        <v>2623</v>
      </c>
      <c r="AD64" s="827">
        <v>46109</v>
      </c>
      <c r="AE64" s="829">
        <v>77399211</v>
      </c>
      <c r="AF64" s="826">
        <v>2623</v>
      </c>
      <c r="AG64" s="827">
        <v>46113</v>
      </c>
      <c r="AH64" s="829">
        <v>81634893</v>
      </c>
      <c r="AI64" s="826">
        <v>2623</v>
      </c>
      <c r="AJ64" s="827">
        <v>46143</v>
      </c>
      <c r="AK64" s="830">
        <v>61428728</v>
      </c>
      <c r="AL64" s="826">
        <v>2623</v>
      </c>
      <c r="AM64" s="827">
        <v>46173</v>
      </c>
      <c r="AN64" s="830">
        <v>19809513</v>
      </c>
      <c r="AO64" s="439" t="s">
        <v>819</v>
      </c>
    </row>
    <row r="65" spans="2:41" x14ac:dyDescent="0.25">
      <c r="B65" s="310"/>
      <c r="C65" s="311"/>
      <c r="D65" s="810" t="str">
        <f t="shared" si="0"/>
        <v xml:space="preserve">KAREN ITZEL VÉLAZQUEZ JIMENEZ </v>
      </c>
      <c r="E65" s="831"/>
      <c r="F65" s="832"/>
      <c r="G65" s="833"/>
      <c r="H65" s="826">
        <v>2623</v>
      </c>
      <c r="I65" s="827">
        <v>45905</v>
      </c>
      <c r="J65" s="829">
        <v>45896630</v>
      </c>
      <c r="K65" s="826">
        <v>3023</v>
      </c>
      <c r="L65" s="827">
        <v>45960</v>
      </c>
      <c r="M65" s="830">
        <v>45965421</v>
      </c>
      <c r="N65" s="826">
        <v>3086</v>
      </c>
      <c r="O65" s="827">
        <v>46022</v>
      </c>
      <c r="P65" s="830">
        <v>311225</v>
      </c>
      <c r="Q65" s="826">
        <v>3086</v>
      </c>
      <c r="R65" s="827">
        <v>45997</v>
      </c>
      <c r="S65" s="829">
        <v>311225</v>
      </c>
      <c r="T65" s="826">
        <v>3086</v>
      </c>
      <c r="U65" s="827">
        <v>46027</v>
      </c>
      <c r="V65" s="829">
        <v>110326</v>
      </c>
      <c r="W65" s="826">
        <v>3083</v>
      </c>
      <c r="X65" s="827">
        <v>46055</v>
      </c>
      <c r="Y65" s="830">
        <v>140326</v>
      </c>
      <c r="Z65" s="826">
        <v>3086</v>
      </c>
      <c r="AA65" s="827">
        <v>46088</v>
      </c>
      <c r="AB65" s="829">
        <v>260326</v>
      </c>
      <c r="AC65" s="826">
        <v>3086</v>
      </c>
      <c r="AD65" s="827">
        <v>46106</v>
      </c>
      <c r="AE65" s="829">
        <v>260326</v>
      </c>
      <c r="AF65" s="826">
        <v>3086</v>
      </c>
      <c r="AG65" s="827"/>
      <c r="AH65" s="829"/>
      <c r="AI65" s="826"/>
      <c r="AJ65" s="827"/>
      <c r="AK65" s="830"/>
      <c r="AL65" s="826"/>
      <c r="AM65" s="827"/>
      <c r="AN65" s="829"/>
      <c r="AO65" s="439" t="s">
        <v>836</v>
      </c>
    </row>
    <row r="66" spans="2:41" x14ac:dyDescent="0.25">
      <c r="B66" s="310"/>
      <c r="C66" s="311"/>
      <c r="D66" s="453"/>
      <c r="E66" s="826"/>
      <c r="F66" s="827"/>
      <c r="G66" s="828"/>
      <c r="H66" s="826"/>
      <c r="I66" s="827"/>
      <c r="J66" s="829"/>
      <c r="K66" s="826"/>
      <c r="L66" s="827"/>
      <c r="M66" s="830"/>
      <c r="N66" s="826"/>
      <c r="O66" s="827"/>
      <c r="P66" s="830"/>
      <c r="Q66" s="826"/>
      <c r="R66" s="827"/>
      <c r="S66" s="829"/>
      <c r="T66" s="826"/>
      <c r="U66" s="827"/>
      <c r="V66" s="829"/>
      <c r="W66" s="826"/>
      <c r="X66" s="827"/>
      <c r="Y66" s="830"/>
      <c r="Z66" s="826"/>
      <c r="AA66" s="827"/>
      <c r="AB66" s="829"/>
      <c r="AC66" s="826"/>
      <c r="AD66" s="827"/>
      <c r="AE66" s="829"/>
      <c r="AF66" s="826"/>
      <c r="AG66" s="827"/>
      <c r="AH66" s="829"/>
      <c r="AI66" s="826"/>
      <c r="AJ66" s="827"/>
      <c r="AK66" s="830"/>
      <c r="AL66" s="826"/>
      <c r="AM66" s="827"/>
      <c r="AN66" s="829"/>
    </row>
    <row r="67" spans="2:41" ht="25.5" customHeight="1" thickBot="1" x14ac:dyDescent="0.3">
      <c r="B67" s="60"/>
      <c r="C67" s="61"/>
      <c r="D67" s="453"/>
      <c r="E67" s="840"/>
      <c r="F67" s="841"/>
      <c r="G67" s="842"/>
      <c r="H67" s="840"/>
      <c r="I67" s="841"/>
      <c r="J67" s="843"/>
      <c r="K67" s="840"/>
      <c r="L67" s="841"/>
      <c r="M67" s="843"/>
      <c r="N67" s="840"/>
      <c r="O67" s="841"/>
      <c r="P67" s="843"/>
      <c r="Q67" s="840"/>
      <c r="R67" s="841"/>
      <c r="S67" s="844"/>
      <c r="T67" s="840"/>
      <c r="U67" s="841"/>
      <c r="V67" s="843"/>
      <c r="W67" s="840"/>
      <c r="X67" s="841"/>
      <c r="Y67" s="843"/>
      <c r="Z67" s="840"/>
      <c r="AA67" s="841"/>
      <c r="AB67" s="844"/>
      <c r="AC67" s="840"/>
      <c r="AD67" s="841"/>
      <c r="AE67" s="844"/>
      <c r="AF67" s="840"/>
      <c r="AG67" s="841"/>
      <c r="AH67" s="844"/>
      <c r="AI67" s="840"/>
      <c r="AJ67" s="841"/>
      <c r="AK67" s="843"/>
      <c r="AL67" s="840"/>
      <c r="AM67" s="841"/>
      <c r="AN67" s="844"/>
    </row>
    <row r="70" spans="2:41" x14ac:dyDescent="0.25">
      <c r="H70" s="845"/>
    </row>
  </sheetData>
  <mergeCells count="22">
    <mergeCell ref="F1:Q1"/>
    <mergeCell ref="S1:U1"/>
    <mergeCell ref="F2:Q2"/>
    <mergeCell ref="S2:U2"/>
    <mergeCell ref="F3:Q3"/>
    <mergeCell ref="S3:U3"/>
    <mergeCell ref="B52:C52"/>
    <mergeCell ref="F4:Q4"/>
    <mergeCell ref="S4:U4"/>
    <mergeCell ref="B39:AN39"/>
    <mergeCell ref="E40:G40"/>
    <mergeCell ref="H40:J40"/>
    <mergeCell ref="K40:M40"/>
    <mergeCell ref="N40:P40"/>
    <mergeCell ref="Q40:S40"/>
    <mergeCell ref="T40:V40"/>
    <mergeCell ref="W40:Y40"/>
    <mergeCell ref="Z40:AB40"/>
    <mergeCell ref="AC40:AE40"/>
    <mergeCell ref="AF40:AH40"/>
    <mergeCell ref="AI40:AK40"/>
    <mergeCell ref="AL40:AN40"/>
  </mergeCells>
  <conditionalFormatting sqref="E42:AN67 H70">
    <cfRule type="notContainsBlanks" dxfId="23" priority="3">
      <formula>LEN(TRIM(E42))&gt;0</formula>
    </cfRule>
  </conditionalFormatting>
  <conditionalFormatting sqref="F8:T34">
    <cfRule type="notContainsBlanks" dxfId="22" priority="1">
      <formula>LEN(TRIM(F8))&gt;0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50"/>
  <sheetViews>
    <sheetView zoomScale="110" zoomScaleNormal="110" workbookViewId="0">
      <pane xSplit="4" ySplit="1" topLeftCell="U24" activePane="bottomRight" state="frozen"/>
      <selection pane="topRight" activeCell="E1" sqref="E1"/>
      <selection pane="bottomLeft" activeCell="A2" sqref="A2"/>
      <selection pane="bottomRight" activeCell="Y26" sqref="Y26"/>
    </sheetView>
  </sheetViews>
  <sheetFormatPr baseColWidth="10" defaultColWidth="11.44140625" defaultRowHeight="12" x14ac:dyDescent="0.25"/>
  <cols>
    <col min="1" max="1" width="11.44140625" style="439"/>
    <col min="2" max="2" width="8.33203125" style="439" bestFit="1" customWidth="1"/>
    <col min="3" max="3" width="13.21875" style="439" customWidth="1"/>
    <col min="4" max="4" width="39.109375" style="439" bestFit="1" customWidth="1"/>
    <col min="5" max="5" width="17.44140625" style="439" customWidth="1"/>
    <col min="6" max="6" width="17.21875" style="439" customWidth="1"/>
    <col min="7" max="7" width="21.33203125" style="439" customWidth="1"/>
    <col min="8" max="8" width="12.33203125" style="439" customWidth="1"/>
    <col min="9" max="9" width="15.44140625" style="439" customWidth="1"/>
    <col min="10" max="10" width="11.88671875" style="439" customWidth="1"/>
    <col min="11" max="11" width="20" style="439" customWidth="1"/>
    <col min="12" max="12" width="15.33203125" style="439" customWidth="1"/>
    <col min="13" max="14" width="21.33203125" style="439" customWidth="1"/>
    <col min="15" max="15" width="11.88671875" style="439" customWidth="1"/>
    <col min="16" max="16" width="21.33203125" style="439" customWidth="1"/>
    <col min="17" max="17" width="20" style="439" customWidth="1"/>
    <col min="18" max="18" width="15" style="439" customWidth="1"/>
    <col min="19" max="19" width="13.5546875" style="439" customWidth="1"/>
    <col min="20" max="20" width="12.33203125" style="439" customWidth="1"/>
    <col min="21" max="21" width="14.77734375" style="439" customWidth="1"/>
    <col min="22" max="22" width="12.33203125" style="439" customWidth="1"/>
    <col min="23" max="23" width="12.44140625" style="439" customWidth="1"/>
    <col min="24" max="24" width="12.6640625" style="439" customWidth="1"/>
    <col min="25" max="25" width="10.5546875" style="439" customWidth="1"/>
    <col min="26" max="26" width="11.44140625" style="439" customWidth="1"/>
    <col min="27" max="27" width="11.88671875" style="439" customWidth="1"/>
    <col min="28" max="28" width="22.88671875" style="439" customWidth="1"/>
    <col min="29" max="29" width="11.44140625" style="439" bestFit="1" customWidth="1"/>
    <col min="30" max="30" width="11.88671875" style="439" bestFit="1" customWidth="1"/>
    <col min="31" max="31" width="22.88671875" style="439" bestFit="1" customWidth="1"/>
    <col min="32" max="32" width="11.44140625" style="439" bestFit="1" customWidth="1"/>
    <col min="33" max="33" width="11.88671875" style="439" bestFit="1" customWidth="1"/>
    <col min="34" max="34" width="19.88671875" style="439" customWidth="1"/>
    <col min="35" max="35" width="11.44140625" style="439" bestFit="1" customWidth="1"/>
    <col min="36" max="36" width="11.88671875" style="439" bestFit="1" customWidth="1"/>
    <col min="37" max="37" width="12.6640625" style="439" bestFit="1" customWidth="1"/>
    <col min="38" max="38" width="11.44140625" style="439" bestFit="1" customWidth="1"/>
    <col min="39" max="39" width="11.88671875" style="439" bestFit="1" customWidth="1"/>
    <col min="40" max="40" width="10.5546875" style="439" bestFit="1" customWidth="1"/>
    <col min="41" max="16384" width="11.44140625" style="439"/>
  </cols>
  <sheetData>
    <row r="1" spans="1:26" ht="12.6" thickBot="1" x14ac:dyDescent="0.3">
      <c r="E1" s="440"/>
      <c r="F1" s="1403" t="s">
        <v>0</v>
      </c>
      <c r="G1" s="1403"/>
      <c r="H1" s="1403"/>
      <c r="I1" s="1403"/>
      <c r="J1" s="1403"/>
      <c r="K1" s="1403"/>
      <c r="L1" s="1403"/>
      <c r="M1" s="1403"/>
      <c r="N1" s="1403"/>
      <c r="O1" s="1403"/>
      <c r="P1" s="1403"/>
      <c r="Q1" s="1403"/>
      <c r="R1" s="441"/>
      <c r="S1" s="1393" t="s">
        <v>1</v>
      </c>
      <c r="T1" s="1393"/>
      <c r="U1" s="1394"/>
    </row>
    <row r="2" spans="1:26" ht="12.6" thickBot="1" x14ac:dyDescent="0.3">
      <c r="E2" s="442"/>
      <c r="F2" s="1404" t="s">
        <v>2</v>
      </c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443"/>
      <c r="S2" s="1393" t="s">
        <v>3</v>
      </c>
      <c r="T2" s="1393"/>
      <c r="U2" s="1394"/>
    </row>
    <row r="3" spans="1:26" ht="12.6" thickBot="1" x14ac:dyDescent="0.3">
      <c r="E3" s="444"/>
      <c r="F3" s="1392" t="s">
        <v>4</v>
      </c>
      <c r="G3" s="1392"/>
      <c r="H3" s="1392"/>
      <c r="I3" s="1392"/>
      <c r="J3" s="1392"/>
      <c r="K3" s="1392"/>
      <c r="L3" s="1392"/>
      <c r="M3" s="1392"/>
      <c r="N3" s="1392"/>
      <c r="O3" s="1392"/>
      <c r="P3" s="1392"/>
      <c r="Q3" s="1392"/>
      <c r="R3" s="445"/>
      <c r="S3" s="1393" t="s">
        <v>5</v>
      </c>
      <c r="T3" s="1393"/>
      <c r="U3" s="1394"/>
    </row>
    <row r="4" spans="1:26" ht="12.6" thickBot="1" x14ac:dyDescent="0.3">
      <c r="C4" s="446"/>
      <c r="D4" s="9" t="s">
        <v>6</v>
      </c>
      <c r="F4" s="1392" t="s">
        <v>39</v>
      </c>
      <c r="G4" s="1392"/>
      <c r="H4" s="1392"/>
      <c r="I4" s="1392"/>
      <c r="J4" s="1392"/>
      <c r="K4" s="1392"/>
      <c r="L4" s="1392"/>
      <c r="M4" s="1392"/>
      <c r="N4" s="1392"/>
      <c r="O4" s="1392"/>
      <c r="P4" s="1392"/>
      <c r="Q4" s="1392"/>
      <c r="R4" s="447"/>
      <c r="S4" s="1393" t="s">
        <v>7</v>
      </c>
      <c r="T4" s="1393"/>
      <c r="U4" s="1394"/>
    </row>
    <row r="6" spans="1:26" ht="12.6" thickBot="1" x14ac:dyDescent="0.3"/>
    <row r="7" spans="1:26" ht="12.6" thickBot="1" x14ac:dyDescent="0.3">
      <c r="B7" s="10" t="s">
        <v>9</v>
      </c>
      <c r="C7" s="11" t="s">
        <v>10</v>
      </c>
      <c r="D7" s="448" t="s">
        <v>11</v>
      </c>
      <c r="E7" s="14" t="s">
        <v>12</v>
      </c>
      <c r="F7" s="15" t="s">
        <v>13</v>
      </c>
      <c r="G7" s="92" t="s">
        <v>14</v>
      </c>
      <c r="H7" s="16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449" t="s">
        <v>20</v>
      </c>
      <c r="V7" s="450" t="s">
        <v>21</v>
      </c>
      <c r="W7" s="451" t="s">
        <v>22</v>
      </c>
      <c r="X7" s="451" t="s">
        <v>38</v>
      </c>
    </row>
    <row r="8" spans="1:26" s="790" customFormat="1" ht="13.2" x14ac:dyDescent="0.3">
      <c r="A8" s="846" t="s">
        <v>159</v>
      </c>
      <c r="B8" s="847"/>
      <c r="C8" s="848"/>
      <c r="D8" s="849"/>
      <c r="E8" s="850"/>
      <c r="F8" s="463"/>
      <c r="G8" s="709"/>
      <c r="H8" s="851"/>
      <c r="I8" s="850"/>
      <c r="J8" s="850"/>
      <c r="K8" s="850"/>
      <c r="L8" s="850"/>
      <c r="M8" s="850"/>
      <c r="N8" s="850"/>
      <c r="O8" s="850"/>
      <c r="P8" s="850"/>
      <c r="Q8" s="850"/>
      <c r="R8" s="850"/>
      <c r="S8" s="850"/>
      <c r="T8" s="850"/>
      <c r="U8" s="850"/>
      <c r="V8" s="850"/>
      <c r="W8" s="852"/>
      <c r="X8" s="853"/>
    </row>
    <row r="9" spans="1:26" ht="27" customHeight="1" x14ac:dyDescent="0.3">
      <c r="A9" s="846" t="s">
        <v>160</v>
      </c>
      <c r="B9" s="286"/>
      <c r="C9" s="138" t="s">
        <v>103</v>
      </c>
      <c r="D9" s="738" t="s">
        <v>101</v>
      </c>
      <c r="E9" s="454" t="s">
        <v>102</v>
      </c>
      <c r="F9" s="463">
        <v>1550</v>
      </c>
      <c r="G9" s="709">
        <v>2402250</v>
      </c>
      <c r="H9" s="851">
        <v>45712</v>
      </c>
      <c r="I9" s="458">
        <v>2690</v>
      </c>
      <c r="J9" s="459">
        <v>45838</v>
      </c>
      <c r="K9" s="460">
        <v>8.5900054120318096E+16</v>
      </c>
      <c r="L9" s="458">
        <v>1992</v>
      </c>
      <c r="M9" s="459">
        <v>45712</v>
      </c>
      <c r="N9" s="460">
        <v>2402250</v>
      </c>
      <c r="O9" s="458">
        <v>4000</v>
      </c>
      <c r="P9" s="459">
        <v>45901</v>
      </c>
      <c r="Q9" s="460">
        <v>8.59056934903244E+16</v>
      </c>
      <c r="R9" s="458"/>
      <c r="S9" s="459"/>
      <c r="T9" s="460"/>
      <c r="U9" s="461" t="s">
        <v>211</v>
      </c>
      <c r="V9" s="462">
        <v>0.2</v>
      </c>
      <c r="W9" s="463">
        <v>3199</v>
      </c>
      <c r="X9" s="464">
        <v>2559</v>
      </c>
      <c r="Y9" s="854"/>
      <c r="Z9" s="855"/>
    </row>
    <row r="10" spans="1:26" ht="30" customHeight="1" x14ac:dyDescent="0.3">
      <c r="A10" s="846" t="s">
        <v>161</v>
      </c>
      <c r="B10" s="286"/>
      <c r="C10" s="138" t="s">
        <v>193</v>
      </c>
      <c r="D10" s="738" t="s">
        <v>112</v>
      </c>
      <c r="E10" s="454" t="s">
        <v>102</v>
      </c>
      <c r="F10" s="463">
        <v>1550</v>
      </c>
      <c r="G10" s="709" t="s">
        <v>113</v>
      </c>
      <c r="H10" s="851">
        <v>45716</v>
      </c>
      <c r="I10" s="458">
        <v>2690</v>
      </c>
      <c r="J10" s="459">
        <v>45866</v>
      </c>
      <c r="K10" s="709">
        <v>9300304</v>
      </c>
      <c r="L10" s="458">
        <v>1992</v>
      </c>
      <c r="M10" s="459">
        <v>45866</v>
      </c>
      <c r="N10" s="709">
        <v>291018</v>
      </c>
      <c r="O10" s="458">
        <v>5900</v>
      </c>
      <c r="P10" s="459">
        <v>45957</v>
      </c>
      <c r="Q10" s="460">
        <v>281018</v>
      </c>
      <c r="R10" s="458"/>
      <c r="S10" s="459"/>
      <c r="T10" s="460"/>
      <c r="U10" s="461"/>
      <c r="V10" s="462"/>
      <c r="W10" s="463"/>
      <c r="X10" s="464"/>
    </row>
    <row r="11" spans="1:26" s="872" customFormat="1" ht="31.8" customHeight="1" x14ac:dyDescent="0.3">
      <c r="A11" s="856" t="s">
        <v>162</v>
      </c>
      <c r="B11" s="857"/>
      <c r="C11" s="858" t="s">
        <v>114</v>
      </c>
      <c r="D11" s="859" t="s">
        <v>120</v>
      </c>
      <c r="E11" s="860" t="s">
        <v>102</v>
      </c>
      <c r="F11" s="861" t="s">
        <v>66</v>
      </c>
      <c r="G11" s="862" t="s">
        <v>66</v>
      </c>
      <c r="H11" s="863">
        <v>45898</v>
      </c>
      <c r="I11" s="864">
        <v>1345</v>
      </c>
      <c r="J11" s="865">
        <v>45899</v>
      </c>
      <c r="K11" s="866" t="s">
        <v>421</v>
      </c>
      <c r="L11" s="864">
        <v>1245</v>
      </c>
      <c r="M11" s="865">
        <v>45899</v>
      </c>
      <c r="N11" s="867" t="s">
        <v>422</v>
      </c>
      <c r="O11" s="864">
        <v>5900</v>
      </c>
      <c r="P11" s="865">
        <v>45928</v>
      </c>
      <c r="Q11" s="866">
        <v>14597856</v>
      </c>
      <c r="R11" s="864"/>
      <c r="S11" s="865"/>
      <c r="T11" s="868"/>
      <c r="U11" s="869" t="s">
        <v>211</v>
      </c>
      <c r="V11" s="870">
        <v>0.3</v>
      </c>
      <c r="W11" s="861">
        <v>3199</v>
      </c>
      <c r="X11" s="871">
        <v>2239</v>
      </c>
    </row>
    <row r="12" spans="1:26" ht="13.2" x14ac:dyDescent="0.3">
      <c r="A12" s="846" t="s">
        <v>279</v>
      </c>
      <c r="B12" s="286"/>
      <c r="C12" s="138" t="s">
        <v>114</v>
      </c>
      <c r="D12" s="453" t="s">
        <v>197</v>
      </c>
      <c r="E12" s="454" t="s">
        <v>102</v>
      </c>
      <c r="F12" s="463" t="s">
        <v>66</v>
      </c>
      <c r="G12" s="709" t="s">
        <v>66</v>
      </c>
      <c r="H12" s="851" t="s">
        <v>66</v>
      </c>
      <c r="I12" s="469">
        <v>2690</v>
      </c>
      <c r="J12" s="459">
        <v>45824</v>
      </c>
      <c r="K12" s="460">
        <v>98851283</v>
      </c>
      <c r="L12" s="469">
        <v>2490</v>
      </c>
      <c r="M12" s="459">
        <v>45824</v>
      </c>
      <c r="N12" s="472">
        <v>988851283</v>
      </c>
      <c r="O12" s="469">
        <v>5900</v>
      </c>
      <c r="P12" s="459">
        <v>45884</v>
      </c>
      <c r="Q12" s="460">
        <v>71494998</v>
      </c>
      <c r="R12" s="458"/>
      <c r="S12" s="459"/>
      <c r="T12" s="460"/>
      <c r="U12" s="474" t="s">
        <v>258</v>
      </c>
      <c r="V12" s="1312">
        <v>0.25</v>
      </c>
      <c r="W12" s="1313">
        <v>3838.8</v>
      </c>
      <c r="X12" s="1112">
        <v>2879</v>
      </c>
    </row>
    <row r="13" spans="1:26" ht="13.2" x14ac:dyDescent="0.3">
      <c r="A13" s="846" t="s">
        <v>280</v>
      </c>
      <c r="B13" s="286"/>
      <c r="C13" s="138" t="s">
        <v>193</v>
      </c>
      <c r="D13" s="738" t="s">
        <v>226</v>
      </c>
      <c r="E13" s="454" t="s">
        <v>195</v>
      </c>
      <c r="F13" s="463">
        <v>1860</v>
      </c>
      <c r="G13" s="709">
        <v>250708</v>
      </c>
      <c r="H13" s="851">
        <v>45846</v>
      </c>
      <c r="I13" s="458">
        <v>2690</v>
      </c>
      <c r="J13" s="459">
        <v>45846</v>
      </c>
      <c r="K13" s="460">
        <v>250708</v>
      </c>
      <c r="L13" s="458">
        <v>2490</v>
      </c>
      <c r="M13" s="459">
        <v>45854</v>
      </c>
      <c r="N13" s="460">
        <v>250708</v>
      </c>
      <c r="O13" s="458">
        <v>5900</v>
      </c>
      <c r="P13" s="459">
        <v>45887</v>
      </c>
      <c r="Q13" s="460">
        <v>250818</v>
      </c>
      <c r="R13" s="458"/>
      <c r="S13" s="459"/>
      <c r="T13" s="460"/>
      <c r="U13" s="461" t="s">
        <v>258</v>
      </c>
      <c r="V13" s="462">
        <v>0.18</v>
      </c>
      <c r="W13" s="463">
        <v>3838.8</v>
      </c>
      <c r="X13" s="464">
        <v>3147</v>
      </c>
    </row>
    <row r="14" spans="1:26" ht="13.2" x14ac:dyDescent="0.3">
      <c r="A14" s="846" t="s">
        <v>404</v>
      </c>
      <c r="B14" s="286"/>
      <c r="C14" s="138" t="s">
        <v>114</v>
      </c>
      <c r="D14" s="453" t="s">
        <v>403</v>
      </c>
      <c r="E14" s="454" t="s">
        <v>195</v>
      </c>
      <c r="F14" s="463" t="s">
        <v>66</v>
      </c>
      <c r="G14" s="709" t="s">
        <v>66</v>
      </c>
      <c r="H14" s="873">
        <v>45898</v>
      </c>
      <c r="I14" s="458">
        <v>2690</v>
      </c>
      <c r="J14" s="459">
        <v>45900</v>
      </c>
      <c r="K14" s="460">
        <v>585317</v>
      </c>
      <c r="L14" s="458">
        <v>2490</v>
      </c>
      <c r="M14" s="459">
        <v>45900</v>
      </c>
      <c r="N14" s="460">
        <v>5851317</v>
      </c>
      <c r="O14" s="458">
        <v>5900</v>
      </c>
      <c r="P14" s="459">
        <v>45901</v>
      </c>
      <c r="Q14" s="460">
        <v>1303670</v>
      </c>
      <c r="R14" s="458"/>
      <c r="S14" s="459"/>
      <c r="T14" s="460"/>
      <c r="U14" s="461"/>
      <c r="V14" s="475"/>
      <c r="W14" s="463"/>
      <c r="X14" s="464"/>
    </row>
    <row r="15" spans="1:26" ht="13.2" x14ac:dyDescent="0.3">
      <c r="A15" s="846" t="s">
        <v>409</v>
      </c>
      <c r="B15" s="286"/>
      <c r="C15" s="138" t="s">
        <v>193</v>
      </c>
      <c r="D15" s="453" t="s">
        <v>407</v>
      </c>
      <c r="E15" s="454" t="s">
        <v>195</v>
      </c>
      <c r="F15" s="463" t="s">
        <v>66</v>
      </c>
      <c r="G15" s="707" t="s">
        <v>66</v>
      </c>
      <c r="H15" s="873">
        <v>45901</v>
      </c>
      <c r="I15" s="458"/>
      <c r="J15" s="459"/>
      <c r="K15" s="460"/>
      <c r="L15" s="458"/>
      <c r="M15" s="459"/>
      <c r="N15" s="707"/>
      <c r="O15" s="458"/>
      <c r="P15" s="459"/>
      <c r="Q15" s="460"/>
      <c r="R15" s="458"/>
      <c r="S15" s="459"/>
      <c r="T15" s="460"/>
      <c r="U15" s="461" t="s">
        <v>258</v>
      </c>
      <c r="V15" s="462">
        <v>0.3</v>
      </c>
      <c r="W15" s="463">
        <v>3838.8</v>
      </c>
      <c r="X15" s="464">
        <v>2687</v>
      </c>
    </row>
    <row r="16" spans="1:26" ht="13.2" x14ac:dyDescent="0.3">
      <c r="A16" s="846" t="s">
        <v>409</v>
      </c>
      <c r="B16" s="286"/>
      <c r="C16" s="138" t="s">
        <v>193</v>
      </c>
      <c r="D16" s="453" t="s">
        <v>408</v>
      </c>
      <c r="E16" s="454" t="s">
        <v>195</v>
      </c>
      <c r="F16" s="463" t="s">
        <v>66</v>
      </c>
      <c r="G16" s="707" t="s">
        <v>66</v>
      </c>
      <c r="H16" s="873">
        <v>45901</v>
      </c>
      <c r="I16" s="458"/>
      <c r="J16" s="459"/>
      <c r="K16" s="472"/>
      <c r="L16" s="458"/>
      <c r="M16" s="459"/>
      <c r="N16" s="472"/>
      <c r="O16" s="458"/>
      <c r="P16" s="459"/>
      <c r="Q16" s="460"/>
      <c r="R16" s="458"/>
      <c r="S16" s="459"/>
      <c r="T16" s="472"/>
      <c r="U16" s="461" t="s">
        <v>258</v>
      </c>
      <c r="V16" s="475">
        <v>0.3</v>
      </c>
      <c r="W16" s="463">
        <v>3838.8</v>
      </c>
      <c r="X16" s="464">
        <v>2687</v>
      </c>
    </row>
    <row r="17" spans="1:41" ht="13.2" x14ac:dyDescent="0.3">
      <c r="A17" s="846"/>
      <c r="B17" s="286"/>
      <c r="C17" s="138"/>
      <c r="D17" s="453"/>
      <c r="E17" s="454"/>
      <c r="F17" s="463"/>
      <c r="G17" s="709"/>
      <c r="H17" s="873"/>
      <c r="I17" s="458"/>
      <c r="J17" s="459"/>
      <c r="K17" s="460"/>
      <c r="L17" s="458"/>
      <c r="M17" s="459"/>
      <c r="N17" s="460"/>
      <c r="O17" s="458"/>
      <c r="P17" s="459"/>
      <c r="Q17" s="460"/>
      <c r="R17" s="458"/>
      <c r="S17" s="459"/>
      <c r="T17" s="460"/>
      <c r="U17" s="461"/>
      <c r="V17" s="475"/>
      <c r="W17" s="463"/>
      <c r="X17" s="464"/>
    </row>
    <row r="18" spans="1:41" s="876" customFormat="1" ht="13.2" x14ac:dyDescent="0.3">
      <c r="A18" s="874"/>
      <c r="B18" s="286"/>
      <c r="C18" s="138"/>
      <c r="D18" s="453"/>
      <c r="E18" s="454"/>
      <c r="F18" s="482"/>
      <c r="G18" s="709"/>
      <c r="H18" s="875"/>
      <c r="I18" s="478"/>
      <c r="J18" s="481"/>
      <c r="K18" s="480"/>
      <c r="L18" s="478"/>
      <c r="M18" s="481"/>
      <c r="N18" s="480"/>
      <c r="O18" s="478"/>
      <c r="P18" s="481"/>
      <c r="Q18" s="480"/>
      <c r="R18" s="478"/>
      <c r="S18" s="479"/>
      <c r="T18" s="480"/>
      <c r="U18" s="479"/>
      <c r="V18" s="479"/>
      <c r="W18" s="482"/>
      <c r="X18" s="483"/>
    </row>
    <row r="19" spans="1:41" ht="13.2" x14ac:dyDescent="0.3">
      <c r="A19" s="846"/>
      <c r="B19" s="286"/>
      <c r="C19" s="138"/>
      <c r="D19" s="453"/>
      <c r="E19" s="454"/>
      <c r="F19" s="463"/>
      <c r="G19" s="709"/>
      <c r="H19" s="873"/>
      <c r="I19" s="458"/>
      <c r="J19" s="459"/>
      <c r="K19" s="460"/>
      <c r="L19" s="458"/>
      <c r="M19" s="459"/>
      <c r="N19" s="460"/>
      <c r="O19" s="458"/>
      <c r="P19" s="459"/>
      <c r="Q19" s="460"/>
      <c r="R19" s="458"/>
      <c r="S19" s="459"/>
      <c r="T19" s="460"/>
      <c r="U19" s="461"/>
      <c r="V19" s="475"/>
      <c r="W19" s="463"/>
      <c r="X19" s="464"/>
    </row>
    <row r="20" spans="1:41" ht="13.2" x14ac:dyDescent="0.3">
      <c r="A20" s="846"/>
      <c r="B20" s="286"/>
      <c r="C20" s="138"/>
      <c r="D20" s="453"/>
      <c r="E20" s="454"/>
      <c r="F20" s="463"/>
      <c r="G20" s="709"/>
      <c r="H20" s="873"/>
      <c r="I20" s="458"/>
      <c r="J20" s="459"/>
      <c r="K20" s="460"/>
      <c r="L20" s="458"/>
      <c r="M20" s="459"/>
      <c r="N20" s="460"/>
      <c r="O20" s="458"/>
      <c r="P20" s="459"/>
      <c r="Q20" s="460"/>
      <c r="R20" s="458"/>
      <c r="S20" s="485"/>
      <c r="T20" s="486"/>
      <c r="U20" s="461"/>
      <c r="V20" s="475"/>
      <c r="W20" s="463"/>
      <c r="X20" s="464"/>
    </row>
    <row r="21" spans="1:41" ht="13.2" x14ac:dyDescent="0.3">
      <c r="A21" s="846"/>
      <c r="B21" s="286"/>
      <c r="C21" s="138"/>
      <c r="D21" s="453"/>
      <c r="E21" s="454"/>
      <c r="F21" s="463"/>
      <c r="G21" s="709"/>
      <c r="H21" s="873"/>
      <c r="I21" s="458"/>
      <c r="J21" s="459"/>
      <c r="K21" s="460"/>
      <c r="L21" s="458"/>
      <c r="M21" s="459"/>
      <c r="N21" s="460"/>
      <c r="O21" s="458"/>
      <c r="P21" s="459"/>
      <c r="Q21" s="460"/>
      <c r="R21" s="458"/>
      <c r="S21" s="461"/>
      <c r="T21" s="460"/>
      <c r="U21" s="461"/>
      <c r="V21" s="475"/>
      <c r="W21" s="463"/>
      <c r="X21" s="464"/>
    </row>
    <row r="22" spans="1:41" ht="13.2" x14ac:dyDescent="0.3">
      <c r="A22" s="846"/>
      <c r="B22" s="286"/>
      <c r="C22" s="138"/>
      <c r="D22" s="453"/>
      <c r="E22" s="454"/>
      <c r="F22" s="463"/>
      <c r="G22" s="709"/>
      <c r="H22" s="873"/>
      <c r="I22" s="458"/>
      <c r="J22" s="459"/>
      <c r="K22" s="460"/>
      <c r="L22" s="458"/>
      <c r="M22" s="459"/>
      <c r="N22" s="460"/>
      <c r="O22" s="458"/>
      <c r="P22" s="459"/>
      <c r="Q22" s="460"/>
      <c r="R22" s="458"/>
      <c r="S22" s="461"/>
      <c r="T22" s="460"/>
      <c r="U22" s="461"/>
      <c r="V22" s="462"/>
      <c r="W22" s="463"/>
      <c r="X22" s="464"/>
    </row>
    <row r="23" spans="1:41" ht="13.2" x14ac:dyDescent="0.3">
      <c r="A23" s="846"/>
      <c r="B23" s="286"/>
      <c r="C23" s="138"/>
      <c r="D23" s="453"/>
      <c r="E23" s="454"/>
      <c r="F23" s="463"/>
      <c r="G23" s="709"/>
      <c r="H23" s="873"/>
      <c r="I23" s="458"/>
      <c r="J23" s="459"/>
      <c r="K23" s="460"/>
      <c r="L23" s="458"/>
      <c r="M23" s="459"/>
      <c r="N23" s="460"/>
      <c r="O23" s="458"/>
      <c r="P23" s="459"/>
      <c r="Q23" s="460"/>
      <c r="R23" s="458"/>
      <c r="S23" s="459"/>
      <c r="T23" s="460"/>
      <c r="U23" s="461"/>
      <c r="V23" s="462"/>
      <c r="W23" s="463"/>
      <c r="X23" s="464"/>
    </row>
    <row r="24" spans="1:41" ht="13.8" thickBot="1" x14ac:dyDescent="0.35">
      <c r="A24" s="846"/>
      <c r="B24" s="291"/>
      <c r="C24" s="147"/>
      <c r="D24" s="487"/>
      <c r="E24" s="488"/>
      <c r="F24" s="489"/>
      <c r="G24" s="877"/>
      <c r="H24" s="490"/>
      <c r="I24" s="489"/>
      <c r="J24" s="490"/>
      <c r="K24" s="491"/>
      <c r="L24" s="489"/>
      <c r="M24" s="490"/>
      <c r="N24" s="491"/>
      <c r="O24" s="489"/>
      <c r="P24" s="490"/>
      <c r="Q24" s="491"/>
      <c r="R24" s="489"/>
      <c r="S24" s="490"/>
      <c r="T24" s="491"/>
      <c r="U24" s="492"/>
      <c r="V24" s="493"/>
      <c r="W24" s="494"/>
      <c r="X24" s="495"/>
    </row>
    <row r="28" spans="1:41" ht="12.6" thickBot="1" x14ac:dyDescent="0.3"/>
    <row r="29" spans="1:41" ht="12.6" thickBot="1" x14ac:dyDescent="0.3">
      <c r="B29" s="1395" t="s">
        <v>24</v>
      </c>
      <c r="C29" s="1396"/>
      <c r="D29" s="1396"/>
      <c r="E29" s="1396"/>
      <c r="F29" s="1396"/>
      <c r="G29" s="1396"/>
      <c r="H29" s="1396"/>
      <c r="I29" s="1396"/>
      <c r="J29" s="1396"/>
      <c r="K29" s="1396"/>
      <c r="L29" s="1396"/>
      <c r="M29" s="1396"/>
      <c r="N29" s="1396"/>
      <c r="O29" s="1396"/>
      <c r="P29" s="1396"/>
      <c r="Q29" s="1396"/>
      <c r="R29" s="1396"/>
      <c r="S29" s="1396"/>
      <c r="T29" s="1396"/>
      <c r="U29" s="1396"/>
      <c r="V29" s="1396"/>
      <c r="W29" s="1396"/>
      <c r="X29" s="1396"/>
      <c r="Y29" s="1396"/>
      <c r="Z29" s="1396"/>
      <c r="AA29" s="1396"/>
      <c r="AB29" s="1396"/>
      <c r="AC29" s="1396"/>
      <c r="AD29" s="1396"/>
      <c r="AE29" s="1396"/>
      <c r="AF29" s="1396"/>
      <c r="AG29" s="1396"/>
      <c r="AH29" s="1396"/>
      <c r="AI29" s="1396"/>
      <c r="AJ29" s="1396"/>
      <c r="AK29" s="1396"/>
      <c r="AL29" s="1396"/>
      <c r="AM29" s="1396"/>
      <c r="AN29" s="1397"/>
    </row>
    <row r="30" spans="1:41" ht="12.6" thickBot="1" x14ac:dyDescent="0.3">
      <c r="B30" s="496" t="s">
        <v>9</v>
      </c>
      <c r="C30" s="497" t="s">
        <v>10</v>
      </c>
      <c r="D30" s="496" t="s">
        <v>11</v>
      </c>
      <c r="E30" s="1398" t="s">
        <v>25</v>
      </c>
      <c r="F30" s="1399"/>
      <c r="G30" s="1400"/>
      <c r="H30" s="1401" t="s">
        <v>26</v>
      </c>
      <c r="I30" s="1401"/>
      <c r="J30" s="1401"/>
      <c r="K30" s="1398" t="s">
        <v>27</v>
      </c>
      <c r="L30" s="1399"/>
      <c r="M30" s="1400"/>
      <c r="N30" s="1401" t="s">
        <v>28</v>
      </c>
      <c r="O30" s="1401"/>
      <c r="P30" s="1401"/>
      <c r="Q30" s="1398" t="s">
        <v>29</v>
      </c>
      <c r="R30" s="1399"/>
      <c r="S30" s="1400"/>
      <c r="T30" s="1401" t="s">
        <v>30</v>
      </c>
      <c r="U30" s="1401"/>
      <c r="V30" s="1401"/>
      <c r="W30" s="1398" t="s">
        <v>36</v>
      </c>
      <c r="X30" s="1399"/>
      <c r="Y30" s="1400"/>
      <c r="Z30" s="1401" t="s">
        <v>31</v>
      </c>
      <c r="AA30" s="1401"/>
      <c r="AB30" s="1401"/>
      <c r="AC30" s="1398" t="s">
        <v>32</v>
      </c>
      <c r="AD30" s="1399"/>
      <c r="AE30" s="1400"/>
      <c r="AF30" s="1401" t="s">
        <v>33</v>
      </c>
      <c r="AG30" s="1401"/>
      <c r="AH30" s="1401"/>
      <c r="AI30" s="1398" t="s">
        <v>34</v>
      </c>
      <c r="AJ30" s="1399"/>
      <c r="AK30" s="1400"/>
      <c r="AL30" s="1401" t="s">
        <v>35</v>
      </c>
      <c r="AM30" s="1401"/>
      <c r="AN30" s="1402"/>
    </row>
    <row r="31" spans="1:41" ht="12.6" thickBot="1" x14ac:dyDescent="0.3">
      <c r="B31" s="498"/>
      <c r="C31" s="452"/>
      <c r="D31" s="452"/>
      <c r="E31" s="878"/>
      <c r="F31" s="879"/>
      <c r="G31" s="880"/>
      <c r="H31" s="879"/>
      <c r="I31" s="879"/>
      <c r="J31" s="879"/>
      <c r="K31" s="878"/>
      <c r="L31" s="879"/>
      <c r="M31" s="880"/>
      <c r="N31" s="879"/>
      <c r="O31" s="879"/>
      <c r="P31" s="879"/>
      <c r="Q31" s="878"/>
      <c r="R31" s="879"/>
      <c r="S31" s="880"/>
      <c r="T31" s="879"/>
      <c r="U31" s="879"/>
      <c r="V31" s="879"/>
      <c r="W31" s="878"/>
      <c r="X31" s="879"/>
      <c r="Y31" s="880"/>
      <c r="Z31" s="879"/>
      <c r="AA31" s="879"/>
      <c r="AB31" s="879"/>
      <c r="AC31" s="878"/>
      <c r="AD31" s="879"/>
      <c r="AE31" s="880"/>
      <c r="AF31" s="879"/>
      <c r="AG31" s="879"/>
      <c r="AH31" s="879"/>
      <c r="AI31" s="878"/>
      <c r="AJ31" s="879"/>
      <c r="AK31" s="880"/>
      <c r="AL31" s="879"/>
      <c r="AM31" s="879"/>
      <c r="AN31" s="880"/>
    </row>
    <row r="32" spans="1:41" ht="13.8" thickBot="1" x14ac:dyDescent="0.35">
      <c r="A32" s="846"/>
      <c r="B32" s="285"/>
      <c r="C32" s="132" t="s">
        <v>655</v>
      </c>
      <c r="D32" s="849" t="str">
        <f>D9</f>
        <v>EMIR ELÍAS GUZMÁN POSADAS</v>
      </c>
      <c r="E32" s="881">
        <v>2559</v>
      </c>
      <c r="F32" s="506">
        <v>45874</v>
      </c>
      <c r="G32" s="507">
        <v>39874855</v>
      </c>
      <c r="H32" s="505">
        <v>2559</v>
      </c>
      <c r="I32" s="506">
        <v>45910</v>
      </c>
      <c r="J32" s="507">
        <v>38736109</v>
      </c>
      <c r="K32" s="505">
        <v>2559</v>
      </c>
      <c r="L32" s="506">
        <v>45936</v>
      </c>
      <c r="M32" s="507">
        <v>8.5904478500327904E+16</v>
      </c>
      <c r="N32" s="505">
        <v>2559</v>
      </c>
      <c r="O32" s="506">
        <v>45967</v>
      </c>
      <c r="P32" s="507">
        <v>55116694</v>
      </c>
      <c r="Q32" s="505">
        <v>2559</v>
      </c>
      <c r="R32" s="506">
        <v>45997</v>
      </c>
      <c r="S32" s="507">
        <v>58628374</v>
      </c>
      <c r="T32" s="505">
        <v>2559</v>
      </c>
      <c r="U32" s="506">
        <v>46027</v>
      </c>
      <c r="V32" s="507">
        <v>17895983</v>
      </c>
      <c r="W32" s="1329"/>
      <c r="X32" s="1330"/>
      <c r="Y32" s="1331"/>
      <c r="Z32" s="505">
        <v>2559</v>
      </c>
      <c r="AA32" s="509">
        <v>46055</v>
      </c>
      <c r="AB32" s="510">
        <v>19010475</v>
      </c>
      <c r="AC32" s="505">
        <v>2559</v>
      </c>
      <c r="AD32" s="509">
        <v>46086</v>
      </c>
      <c r="AE32" s="510">
        <v>59573223</v>
      </c>
      <c r="AF32" s="505">
        <v>2559</v>
      </c>
      <c r="AG32" s="509">
        <v>46117</v>
      </c>
      <c r="AH32" s="510">
        <v>66843314</v>
      </c>
      <c r="AI32" s="505">
        <v>2559</v>
      </c>
      <c r="AJ32" s="509">
        <v>46147</v>
      </c>
      <c r="AK32" s="507">
        <v>10040008</v>
      </c>
      <c r="AL32" s="505">
        <v>2559</v>
      </c>
      <c r="AM32" s="509">
        <v>46181</v>
      </c>
      <c r="AN32" s="510" t="s">
        <v>792</v>
      </c>
      <c r="AO32" s="439" t="s">
        <v>816</v>
      </c>
    </row>
    <row r="33" spans="1:41" ht="13.8" thickBot="1" x14ac:dyDescent="0.35">
      <c r="A33" s="846"/>
      <c r="B33" s="286"/>
      <c r="C33" s="138"/>
      <c r="D33" s="849" t="str">
        <f t="shared" ref="D33:D35" si="0">D10</f>
        <v>MARIA ESTHER HERNANDEZ VARGAS</v>
      </c>
      <c r="E33" s="511"/>
      <c r="F33" s="512"/>
      <c r="G33" s="513"/>
      <c r="H33" s="514">
        <v>2239</v>
      </c>
      <c r="I33" s="459">
        <v>45912</v>
      </c>
      <c r="J33" s="515">
        <v>4121821</v>
      </c>
      <c r="K33" s="514">
        <v>2239.3000000000002</v>
      </c>
      <c r="L33" s="459">
        <v>45935</v>
      </c>
      <c r="M33" s="515">
        <v>281018</v>
      </c>
      <c r="N33" s="514">
        <v>2239</v>
      </c>
      <c r="O33" s="459">
        <v>45967</v>
      </c>
      <c r="P33" s="515">
        <v>40741</v>
      </c>
      <c r="Q33" s="514">
        <v>2239</v>
      </c>
      <c r="R33" s="459">
        <v>46386</v>
      </c>
      <c r="S33" s="515">
        <v>7604251</v>
      </c>
      <c r="T33" s="514">
        <v>2239</v>
      </c>
      <c r="U33" s="459">
        <v>46023</v>
      </c>
      <c r="V33" s="515">
        <v>1755783</v>
      </c>
      <c r="W33" s="516"/>
      <c r="X33" s="512"/>
      <c r="Y33" s="513"/>
      <c r="Z33" s="514">
        <v>2239</v>
      </c>
      <c r="AA33" s="459">
        <v>46087</v>
      </c>
      <c r="AB33" s="515">
        <v>6879938</v>
      </c>
      <c r="AC33" s="514">
        <v>2239</v>
      </c>
      <c r="AD33" s="459">
        <v>46129</v>
      </c>
      <c r="AE33" s="515">
        <v>85534</v>
      </c>
      <c r="AF33" s="514">
        <v>2239</v>
      </c>
      <c r="AG33" s="459">
        <v>46129</v>
      </c>
      <c r="AH33" s="515">
        <v>6919545</v>
      </c>
      <c r="AI33" s="514">
        <v>2239.3000000000002</v>
      </c>
      <c r="AJ33" s="459">
        <v>46156</v>
      </c>
      <c r="AK33" s="515">
        <v>9106373</v>
      </c>
      <c r="AL33" s="514">
        <v>2239.3000000000002</v>
      </c>
      <c r="AM33" s="459">
        <v>46177</v>
      </c>
      <c r="AN33" s="515">
        <v>2068462</v>
      </c>
      <c r="AO33" s="439" t="s">
        <v>816</v>
      </c>
    </row>
    <row r="34" spans="1:41" ht="13.8" thickBot="1" x14ac:dyDescent="0.35">
      <c r="A34" s="846"/>
      <c r="B34" s="286"/>
      <c r="C34" s="138"/>
      <c r="D34" s="883" t="str">
        <f t="shared" si="0"/>
        <v>EMILIANO NARVAEZ MARTINEZ</v>
      </c>
      <c r="E34" s="511"/>
      <c r="F34" s="512"/>
      <c r="G34" s="513"/>
      <c r="H34" s="518">
        <v>2239</v>
      </c>
      <c r="I34" s="459">
        <v>45906</v>
      </c>
      <c r="J34" s="515">
        <v>38975648</v>
      </c>
      <c r="K34" s="514">
        <v>2239</v>
      </c>
      <c r="L34" s="459">
        <v>45936</v>
      </c>
      <c r="M34" s="515">
        <v>8.5901441694327904E+16</v>
      </c>
      <c r="N34" s="514">
        <v>2239</v>
      </c>
      <c r="O34" s="459">
        <v>45966</v>
      </c>
      <c r="P34" s="515">
        <v>8.5900663164330896E+16</v>
      </c>
      <c r="Q34" s="514">
        <v>2239</v>
      </c>
      <c r="R34" s="459">
        <v>45996</v>
      </c>
      <c r="S34" s="515">
        <v>8.5900998804333904E+16</v>
      </c>
      <c r="T34" s="514">
        <v>2239</v>
      </c>
      <c r="U34" s="459">
        <v>46027</v>
      </c>
      <c r="V34" s="515">
        <v>8.5909703704300496E+16</v>
      </c>
      <c r="W34" s="516"/>
      <c r="X34" s="512"/>
      <c r="Y34" s="513"/>
      <c r="Z34" s="514">
        <v>2239</v>
      </c>
      <c r="AA34" s="459">
        <v>46057</v>
      </c>
      <c r="AB34" s="517">
        <v>8.5907800194303504E+16</v>
      </c>
      <c r="AC34" s="514">
        <v>2239</v>
      </c>
      <c r="AD34" s="459">
        <v>46085</v>
      </c>
      <c r="AE34" s="517">
        <v>8.5907614274306304E+16</v>
      </c>
      <c r="AF34" s="514">
        <v>2239</v>
      </c>
      <c r="AG34" s="459">
        <v>46117</v>
      </c>
      <c r="AH34" s="517">
        <v>8.5908581714309504E+16</v>
      </c>
      <c r="AI34" s="514">
        <v>2240</v>
      </c>
      <c r="AJ34" s="459">
        <v>46146</v>
      </c>
      <c r="AK34" s="515">
        <v>312469</v>
      </c>
      <c r="AL34" s="514"/>
      <c r="AM34" s="459"/>
      <c r="AN34" s="517"/>
    </row>
    <row r="35" spans="1:41" ht="13.8" thickBot="1" x14ac:dyDescent="0.35">
      <c r="A35" s="846"/>
      <c r="B35" s="286"/>
      <c r="C35" s="138"/>
      <c r="D35" s="849" t="str">
        <f t="shared" si="0"/>
        <v xml:space="preserve">ALANA XIMENA CASTILLO ABREU </v>
      </c>
      <c r="E35" s="511"/>
      <c r="F35" s="512"/>
      <c r="G35" s="513"/>
      <c r="H35" s="514">
        <v>2879</v>
      </c>
      <c r="I35" s="459">
        <v>45909</v>
      </c>
      <c r="J35" s="515">
        <v>395842</v>
      </c>
      <c r="K35" s="514">
        <v>2879</v>
      </c>
      <c r="L35" s="459">
        <v>45936</v>
      </c>
      <c r="M35" s="515" t="s">
        <v>456</v>
      </c>
      <c r="N35" s="514">
        <v>2879</v>
      </c>
      <c r="O35" s="459">
        <v>45966</v>
      </c>
      <c r="P35" s="515">
        <v>493600</v>
      </c>
      <c r="Q35" s="514">
        <v>2879</v>
      </c>
      <c r="R35" s="459">
        <v>45996</v>
      </c>
      <c r="S35" s="515">
        <v>90846355</v>
      </c>
      <c r="T35" s="514">
        <v>3279</v>
      </c>
      <c r="U35" s="459">
        <v>46036</v>
      </c>
      <c r="V35" s="515" t="s">
        <v>485</v>
      </c>
      <c r="W35" s="516"/>
      <c r="X35" s="512"/>
      <c r="Y35" s="513"/>
      <c r="Z35" s="514">
        <v>2879</v>
      </c>
      <c r="AA35" s="459">
        <v>46056</v>
      </c>
      <c r="AB35" s="517">
        <v>477986</v>
      </c>
      <c r="AC35" s="514">
        <v>2879</v>
      </c>
      <c r="AD35" s="459">
        <v>46086</v>
      </c>
      <c r="AE35" s="517">
        <v>201243</v>
      </c>
      <c r="AF35" s="514">
        <v>2879</v>
      </c>
      <c r="AG35" s="459">
        <v>46117</v>
      </c>
      <c r="AH35" s="517">
        <v>56879412</v>
      </c>
      <c r="AI35" s="514">
        <v>2879</v>
      </c>
      <c r="AJ35" s="459">
        <v>46147</v>
      </c>
      <c r="AK35" s="515">
        <v>23254008</v>
      </c>
      <c r="AL35" s="514">
        <v>2879</v>
      </c>
      <c r="AM35" s="459">
        <v>46178</v>
      </c>
      <c r="AN35" s="517">
        <v>61453777</v>
      </c>
      <c r="AO35" s="439" t="s">
        <v>816</v>
      </c>
    </row>
    <row r="36" spans="1:41" ht="13.8" thickBot="1" x14ac:dyDescent="0.35">
      <c r="A36" s="846"/>
      <c r="B36" s="286"/>
      <c r="C36" s="138"/>
      <c r="D36" s="849" t="str">
        <f>D13</f>
        <v>FRANCISCO MALIK HEREDIA DOMÍNGUEZ</v>
      </c>
      <c r="E36" s="511"/>
      <c r="F36" s="512"/>
      <c r="G36" s="513"/>
      <c r="H36" s="514">
        <v>3147</v>
      </c>
      <c r="I36" s="459">
        <v>45905</v>
      </c>
      <c r="J36" s="515">
        <v>250905</v>
      </c>
      <c r="K36" s="514">
        <v>3147</v>
      </c>
      <c r="L36" s="459">
        <v>45935</v>
      </c>
      <c r="M36" s="515">
        <v>251005</v>
      </c>
      <c r="N36" s="514">
        <v>3147</v>
      </c>
      <c r="O36" s="459">
        <v>45966</v>
      </c>
      <c r="P36" s="515">
        <v>251105</v>
      </c>
      <c r="Q36" s="514">
        <v>3147</v>
      </c>
      <c r="R36" s="459">
        <v>45996</v>
      </c>
      <c r="S36" s="515">
        <v>251205</v>
      </c>
      <c r="T36" s="514">
        <v>3147</v>
      </c>
      <c r="U36" s="459">
        <v>46027</v>
      </c>
      <c r="V36" s="515">
        <v>260105</v>
      </c>
      <c r="W36" s="516"/>
      <c r="X36" s="512"/>
      <c r="Y36" s="513"/>
      <c r="Z36" s="514">
        <v>3147</v>
      </c>
      <c r="AA36" s="459">
        <v>46144</v>
      </c>
      <c r="AB36" s="517">
        <v>260205</v>
      </c>
      <c r="AC36" s="514">
        <v>3147</v>
      </c>
      <c r="AD36" s="459">
        <v>46086</v>
      </c>
      <c r="AE36" s="517">
        <v>260305</v>
      </c>
      <c r="AF36" s="514">
        <v>3147</v>
      </c>
      <c r="AG36" s="459">
        <v>46118</v>
      </c>
      <c r="AH36" s="517">
        <v>260406</v>
      </c>
      <c r="AI36" s="514">
        <v>3147</v>
      </c>
      <c r="AJ36" s="481">
        <v>46147</v>
      </c>
      <c r="AK36" s="515">
        <v>604917</v>
      </c>
      <c r="AL36" s="514">
        <v>3147</v>
      </c>
      <c r="AM36" s="459">
        <v>46178</v>
      </c>
      <c r="AN36" s="517">
        <v>326879</v>
      </c>
      <c r="AO36" s="439" t="s">
        <v>819</v>
      </c>
    </row>
    <row r="37" spans="1:41" ht="13.8" thickBot="1" x14ac:dyDescent="0.35">
      <c r="A37" s="846"/>
      <c r="B37" s="286"/>
      <c r="C37" s="138"/>
      <c r="D37" s="882" t="str">
        <f t="shared" ref="D37:D39" si="1">D14</f>
        <v>JOSE MARIA MARTINEZ TADEO</v>
      </c>
      <c r="E37" s="516"/>
      <c r="F37" s="512"/>
      <c r="G37" s="513"/>
      <c r="H37" s="514">
        <v>2623</v>
      </c>
      <c r="I37" s="459">
        <v>45905</v>
      </c>
      <c r="J37" s="515">
        <v>3136259</v>
      </c>
      <c r="K37" s="514">
        <v>2623</v>
      </c>
      <c r="L37" s="459">
        <v>45939</v>
      </c>
      <c r="M37" s="515">
        <v>3050285</v>
      </c>
      <c r="N37" s="514">
        <v>3023</v>
      </c>
      <c r="O37" s="459">
        <v>46032</v>
      </c>
      <c r="P37" s="515">
        <v>8.5901318524300992E+16</v>
      </c>
      <c r="Q37" s="514">
        <v>3023</v>
      </c>
      <c r="R37" s="459">
        <v>46032</v>
      </c>
      <c r="S37" s="515">
        <v>8.5901318524300992E+16</v>
      </c>
      <c r="T37" s="514">
        <v>3023</v>
      </c>
      <c r="U37" s="459">
        <v>46032</v>
      </c>
      <c r="V37" s="515">
        <v>8.5901318524300992E+16</v>
      </c>
      <c r="W37" s="516"/>
      <c r="X37" s="512"/>
      <c r="Y37" s="513"/>
      <c r="Z37" s="514">
        <v>3023</v>
      </c>
      <c r="AA37" s="459">
        <v>46032</v>
      </c>
      <c r="AB37" s="515">
        <v>8.5901318524300992E+16</v>
      </c>
      <c r="AC37" s="514">
        <v>3023</v>
      </c>
      <c r="AD37" s="459">
        <v>46103</v>
      </c>
      <c r="AE37" s="517">
        <v>8.5900562374308096E+16</v>
      </c>
      <c r="AF37" s="514">
        <v>3023</v>
      </c>
      <c r="AG37" s="459">
        <v>46103</v>
      </c>
      <c r="AH37" s="517" t="s">
        <v>72</v>
      </c>
      <c r="AI37" s="514"/>
      <c r="AJ37" s="459"/>
      <c r="AK37" s="515"/>
      <c r="AL37" s="514"/>
      <c r="AM37" s="459"/>
      <c r="AN37" s="517"/>
    </row>
    <row r="38" spans="1:41" ht="13.8" thickBot="1" x14ac:dyDescent="0.35">
      <c r="A38" s="846"/>
      <c r="B38" s="287"/>
      <c r="C38" s="138"/>
      <c r="D38" s="883" t="str">
        <f t="shared" si="1"/>
        <v>MIRANDA REYES ESCOBAR</v>
      </c>
      <c r="E38" s="516"/>
      <c r="F38" s="512"/>
      <c r="G38" s="718"/>
      <c r="H38" s="514">
        <v>2680</v>
      </c>
      <c r="I38" s="459">
        <v>45906</v>
      </c>
      <c r="J38" s="520" t="s">
        <v>457</v>
      </c>
      <c r="K38" s="514">
        <v>2680</v>
      </c>
      <c r="L38" s="459">
        <v>45934</v>
      </c>
      <c r="M38" s="515">
        <v>58649042</v>
      </c>
      <c r="N38" s="514">
        <v>2680</v>
      </c>
      <c r="O38" s="459">
        <v>45966</v>
      </c>
      <c r="P38" s="515" t="s">
        <v>72</v>
      </c>
      <c r="Q38" s="514">
        <v>2680</v>
      </c>
      <c r="R38" s="459">
        <v>45996</v>
      </c>
      <c r="S38" s="515" t="s">
        <v>72</v>
      </c>
      <c r="T38" s="514">
        <v>2680</v>
      </c>
      <c r="U38" s="459">
        <v>46027</v>
      </c>
      <c r="V38" s="515">
        <v>28235253</v>
      </c>
      <c r="W38" s="516"/>
      <c r="X38" s="512"/>
      <c r="Y38" s="884"/>
      <c r="Z38" s="514">
        <v>2680</v>
      </c>
      <c r="AA38" s="459">
        <v>46027</v>
      </c>
      <c r="AB38" s="517" t="s">
        <v>439</v>
      </c>
      <c r="AC38" s="514">
        <v>2680</v>
      </c>
      <c r="AD38" s="459">
        <v>46087</v>
      </c>
      <c r="AE38" s="517">
        <v>91378914</v>
      </c>
      <c r="AF38" s="723">
        <v>2680</v>
      </c>
      <c r="AG38" s="481">
        <v>46117</v>
      </c>
      <c r="AH38" s="719">
        <v>1584619706</v>
      </c>
      <c r="AI38" s="514"/>
      <c r="AJ38" s="459"/>
      <c r="AK38" s="515"/>
      <c r="AL38" s="514"/>
      <c r="AM38" s="459"/>
      <c r="AN38" s="517"/>
    </row>
    <row r="39" spans="1:41" ht="13.8" thickBot="1" x14ac:dyDescent="0.35">
      <c r="A39" s="846"/>
      <c r="B39" s="286"/>
      <c r="C39" s="138"/>
      <c r="D39" s="883" t="str">
        <f t="shared" si="1"/>
        <v>CONSTANZA REYES ESCOBAR</v>
      </c>
      <c r="E39" s="516"/>
      <c r="F39" s="512"/>
      <c r="G39" s="513"/>
      <c r="H39" s="514">
        <v>2680</v>
      </c>
      <c r="I39" s="459">
        <v>45906</v>
      </c>
      <c r="J39" s="515">
        <v>53949849</v>
      </c>
      <c r="K39" s="514">
        <v>2680</v>
      </c>
      <c r="L39" s="459">
        <v>45934</v>
      </c>
      <c r="M39" s="515">
        <v>22966164</v>
      </c>
      <c r="N39" s="514">
        <v>2680</v>
      </c>
      <c r="O39" s="459">
        <v>45966</v>
      </c>
      <c r="P39" s="515" t="s">
        <v>72</v>
      </c>
      <c r="Q39" s="514">
        <v>2680</v>
      </c>
      <c r="R39" s="459">
        <v>45996</v>
      </c>
      <c r="S39" s="515" t="s">
        <v>72</v>
      </c>
      <c r="T39" s="514">
        <v>2680</v>
      </c>
      <c r="U39" s="459">
        <v>46027</v>
      </c>
      <c r="V39" s="515">
        <v>98405673</v>
      </c>
      <c r="W39" s="516"/>
      <c r="X39" s="512"/>
      <c r="Y39" s="513"/>
      <c r="Z39" s="514">
        <v>2680</v>
      </c>
      <c r="AA39" s="459">
        <v>46027</v>
      </c>
      <c r="AB39" s="517" t="s">
        <v>439</v>
      </c>
      <c r="AC39" s="514">
        <v>2680</v>
      </c>
      <c r="AD39" s="459">
        <v>46087</v>
      </c>
      <c r="AE39" s="517">
        <v>87987959</v>
      </c>
      <c r="AF39" s="723">
        <v>2680</v>
      </c>
      <c r="AG39" s="481">
        <v>46117</v>
      </c>
      <c r="AH39" s="719">
        <v>1584619706</v>
      </c>
      <c r="AI39" s="514"/>
      <c r="AJ39" s="459"/>
      <c r="AK39" s="515"/>
      <c r="AL39" s="514"/>
      <c r="AM39" s="459"/>
      <c r="AN39" s="517"/>
    </row>
    <row r="40" spans="1:41" ht="13.2" x14ac:dyDescent="0.3">
      <c r="A40" s="846"/>
      <c r="B40" s="286"/>
      <c r="C40" s="138"/>
      <c r="D40" s="849"/>
      <c r="E40" s="514"/>
      <c r="F40" s="459"/>
      <c r="G40" s="515"/>
      <c r="H40" s="514"/>
      <c r="I40" s="459"/>
      <c r="J40" s="515"/>
      <c r="K40" s="514"/>
      <c r="L40" s="459"/>
      <c r="M40" s="515"/>
      <c r="N40" s="514"/>
      <c r="O40" s="459"/>
      <c r="P40" s="515"/>
      <c r="Q40" s="514"/>
      <c r="R40" s="459"/>
      <c r="S40" s="515"/>
      <c r="T40" s="514"/>
      <c r="U40" s="459"/>
      <c r="V40" s="517"/>
      <c r="W40" s="514"/>
      <c r="X40" s="459"/>
      <c r="Y40" s="515"/>
      <c r="Z40" s="514"/>
      <c r="AA40" s="459"/>
      <c r="AB40" s="517"/>
      <c r="AC40" s="514"/>
      <c r="AD40" s="459"/>
      <c r="AE40" s="517"/>
      <c r="AF40" s="514"/>
      <c r="AG40" s="459"/>
      <c r="AH40" s="517"/>
      <c r="AI40" s="514"/>
      <c r="AJ40" s="459"/>
      <c r="AK40" s="515"/>
      <c r="AL40" s="514"/>
      <c r="AM40" s="459"/>
      <c r="AN40" s="517"/>
    </row>
    <row r="41" spans="1:41" ht="13.2" x14ac:dyDescent="0.3">
      <c r="A41" s="846"/>
      <c r="B41" s="286"/>
      <c r="C41" s="138"/>
      <c r="D41" s="143"/>
      <c r="E41" s="514"/>
      <c r="F41" s="459"/>
      <c r="G41" s="517"/>
      <c r="H41" s="514"/>
      <c r="I41" s="459"/>
      <c r="J41" s="515"/>
      <c r="K41" s="514"/>
      <c r="L41" s="459"/>
      <c r="M41" s="515"/>
      <c r="N41" s="514"/>
      <c r="O41" s="459"/>
      <c r="P41" s="515"/>
      <c r="Q41" s="514"/>
      <c r="R41" s="459"/>
      <c r="S41" s="515"/>
      <c r="T41" s="514"/>
      <c r="U41" s="459"/>
      <c r="V41" s="517"/>
      <c r="W41" s="514"/>
      <c r="X41" s="459"/>
      <c r="Y41" s="515"/>
      <c r="Z41" s="514"/>
      <c r="AA41" s="459"/>
      <c r="AB41" s="517"/>
      <c r="AC41" s="514"/>
      <c r="AD41" s="459"/>
      <c r="AE41" s="517"/>
      <c r="AF41" s="514"/>
      <c r="AG41" s="459"/>
      <c r="AH41" s="517"/>
      <c r="AI41" s="514"/>
      <c r="AJ41" s="459"/>
      <c r="AK41" s="515"/>
      <c r="AL41" s="514"/>
      <c r="AM41" s="459"/>
      <c r="AN41" s="517"/>
    </row>
    <row r="42" spans="1:41" ht="13.2" x14ac:dyDescent="0.3">
      <c r="A42" s="846"/>
      <c r="B42" s="1405"/>
      <c r="C42" s="1406"/>
      <c r="D42" s="143"/>
      <c r="E42" s="514"/>
      <c r="F42" s="459"/>
      <c r="G42" s="517"/>
      <c r="H42" s="514"/>
      <c r="I42" s="459"/>
      <c r="J42" s="515"/>
      <c r="K42" s="514"/>
      <c r="L42" s="459"/>
      <c r="M42" s="515"/>
      <c r="N42" s="514"/>
      <c r="O42" s="459"/>
      <c r="P42" s="515"/>
      <c r="Q42" s="514"/>
      <c r="R42" s="459"/>
      <c r="S42" s="515"/>
      <c r="T42" s="514"/>
      <c r="U42" s="459"/>
      <c r="V42" s="517"/>
      <c r="W42" s="514"/>
      <c r="X42" s="459"/>
      <c r="Y42" s="515"/>
      <c r="Z42" s="514"/>
      <c r="AA42" s="459"/>
      <c r="AB42" s="517"/>
      <c r="AC42" s="514"/>
      <c r="AD42" s="459"/>
      <c r="AE42" s="517"/>
      <c r="AF42" s="514"/>
      <c r="AG42" s="459"/>
      <c r="AH42" s="517"/>
      <c r="AI42" s="514"/>
      <c r="AJ42" s="459"/>
      <c r="AK42" s="515"/>
      <c r="AL42" s="514"/>
      <c r="AM42" s="459"/>
      <c r="AN42" s="517"/>
    </row>
    <row r="43" spans="1:41" ht="13.2" x14ac:dyDescent="0.3">
      <c r="A43" s="846"/>
      <c r="B43" s="286"/>
      <c r="C43" s="138"/>
      <c r="D43" s="143"/>
      <c r="E43" s="514"/>
      <c r="F43" s="459"/>
      <c r="G43" s="517"/>
      <c r="H43" s="514"/>
      <c r="I43" s="459"/>
      <c r="J43" s="515"/>
      <c r="K43" s="514"/>
      <c r="L43" s="459"/>
      <c r="M43" s="515"/>
      <c r="N43" s="514"/>
      <c r="O43" s="459"/>
      <c r="P43" s="515"/>
      <c r="Q43" s="514"/>
      <c r="R43" s="459"/>
      <c r="S43" s="515"/>
      <c r="T43" s="514"/>
      <c r="U43" s="459"/>
      <c r="V43" s="517"/>
      <c r="W43" s="514"/>
      <c r="X43" s="459"/>
      <c r="Y43" s="515"/>
      <c r="Z43" s="514"/>
      <c r="AA43" s="459"/>
      <c r="AB43" s="517"/>
      <c r="AC43" s="514"/>
      <c r="AD43" s="459"/>
      <c r="AE43" s="517"/>
      <c r="AF43" s="514"/>
      <c r="AG43" s="459"/>
      <c r="AH43" s="517"/>
      <c r="AI43" s="514"/>
      <c r="AJ43" s="459"/>
      <c r="AK43" s="515"/>
      <c r="AL43" s="514"/>
      <c r="AM43" s="459"/>
      <c r="AN43" s="517"/>
    </row>
    <row r="44" spans="1:41" ht="13.2" x14ac:dyDescent="0.3">
      <c r="A44" s="846"/>
      <c r="B44" s="286"/>
      <c r="C44" s="138"/>
      <c r="D44" s="143"/>
      <c r="E44" s="514"/>
      <c r="F44" s="459"/>
      <c r="G44" s="515"/>
      <c r="H44" s="514"/>
      <c r="I44" s="459"/>
      <c r="J44" s="515"/>
      <c r="K44" s="514"/>
      <c r="L44" s="459"/>
      <c r="M44" s="515"/>
      <c r="N44" s="514"/>
      <c r="O44" s="459"/>
      <c r="P44" s="515"/>
      <c r="Q44" s="514"/>
      <c r="R44" s="459"/>
      <c r="S44" s="515"/>
      <c r="T44" s="514"/>
      <c r="U44" s="459"/>
      <c r="V44" s="517"/>
      <c r="W44" s="514"/>
      <c r="X44" s="459"/>
      <c r="Y44" s="520"/>
      <c r="Z44" s="514"/>
      <c r="AA44" s="459"/>
      <c r="AB44" s="517"/>
      <c r="AC44" s="514"/>
      <c r="AD44" s="459"/>
      <c r="AE44" s="517"/>
      <c r="AF44" s="514"/>
      <c r="AG44" s="459"/>
      <c r="AH44" s="517"/>
      <c r="AI44" s="514"/>
      <c r="AJ44" s="459"/>
      <c r="AK44" s="515"/>
      <c r="AL44" s="514"/>
      <c r="AM44" s="459"/>
      <c r="AN44" s="517"/>
    </row>
    <row r="45" spans="1:41" ht="13.2" x14ac:dyDescent="0.3">
      <c r="A45" s="846"/>
      <c r="B45" s="286"/>
      <c r="C45" s="138"/>
      <c r="D45" s="143"/>
      <c r="E45" s="514"/>
      <c r="F45" s="459"/>
      <c r="G45" s="515"/>
      <c r="H45" s="514"/>
      <c r="I45" s="459"/>
      <c r="J45" s="515"/>
      <c r="K45" s="514"/>
      <c r="L45" s="459"/>
      <c r="M45" s="515"/>
      <c r="N45" s="514"/>
      <c r="O45" s="459"/>
      <c r="P45" s="515"/>
      <c r="Q45" s="514"/>
      <c r="R45" s="459"/>
      <c r="S45" s="515"/>
      <c r="T45" s="514"/>
      <c r="U45" s="459"/>
      <c r="V45" s="517"/>
      <c r="W45" s="514"/>
      <c r="X45" s="459"/>
      <c r="Y45" s="515"/>
      <c r="Z45" s="514"/>
      <c r="AA45" s="459"/>
      <c r="AB45" s="517"/>
      <c r="AC45" s="514"/>
      <c r="AD45" s="459"/>
      <c r="AE45" s="517"/>
      <c r="AF45" s="514"/>
      <c r="AG45" s="459"/>
      <c r="AH45" s="517"/>
      <c r="AI45" s="514"/>
      <c r="AJ45" s="459"/>
      <c r="AK45" s="515"/>
      <c r="AL45" s="514"/>
      <c r="AM45" s="459"/>
      <c r="AN45" s="517"/>
    </row>
    <row r="46" spans="1:41" ht="13.2" x14ac:dyDescent="0.3">
      <c r="A46" s="846"/>
      <c r="B46" s="286"/>
      <c r="C46" s="138"/>
      <c r="D46" s="143"/>
      <c r="E46" s="514"/>
      <c r="F46" s="459"/>
      <c r="G46" s="517"/>
      <c r="H46" s="514"/>
      <c r="I46" s="459"/>
      <c r="J46" s="517"/>
      <c r="K46" s="514"/>
      <c r="L46" s="459"/>
      <c r="M46" s="517"/>
      <c r="N46" s="514"/>
      <c r="O46" s="459"/>
      <c r="P46" s="517"/>
      <c r="Q46" s="514"/>
      <c r="R46" s="459"/>
      <c r="S46" s="517"/>
      <c r="T46" s="514"/>
      <c r="U46" s="459"/>
      <c r="V46" s="517"/>
      <c r="W46" s="514"/>
      <c r="X46" s="459"/>
      <c r="Y46" s="515"/>
      <c r="Z46" s="514"/>
      <c r="AA46" s="459"/>
      <c r="AB46" s="517"/>
      <c r="AC46" s="514"/>
      <c r="AD46" s="459"/>
      <c r="AE46" s="517"/>
      <c r="AF46" s="514"/>
      <c r="AG46" s="459"/>
      <c r="AH46" s="517"/>
      <c r="AI46" s="514"/>
      <c r="AJ46" s="459"/>
      <c r="AK46" s="515"/>
      <c r="AL46" s="514"/>
      <c r="AM46" s="459"/>
      <c r="AN46" s="517"/>
    </row>
    <row r="47" spans="1:41" ht="13.2" x14ac:dyDescent="0.3">
      <c r="A47" s="846"/>
      <c r="B47" s="286"/>
      <c r="C47" s="138"/>
      <c r="D47" s="143"/>
      <c r="E47" s="514"/>
      <c r="F47" s="459"/>
      <c r="G47" s="517"/>
      <c r="H47" s="514"/>
      <c r="I47" s="459"/>
      <c r="J47" s="517"/>
      <c r="K47" s="514"/>
      <c r="L47" s="459"/>
      <c r="M47" s="515"/>
      <c r="N47" s="514"/>
      <c r="O47" s="459"/>
      <c r="P47" s="515"/>
      <c r="Q47" s="514"/>
      <c r="R47" s="459"/>
      <c r="S47" s="517"/>
      <c r="T47" s="514"/>
      <c r="U47" s="459"/>
      <c r="V47" s="517"/>
      <c r="W47" s="514"/>
      <c r="X47" s="459"/>
      <c r="Y47" s="515"/>
      <c r="Z47" s="514"/>
      <c r="AA47" s="459"/>
      <c r="AB47" s="517"/>
      <c r="AC47" s="514"/>
      <c r="AD47" s="459"/>
      <c r="AE47" s="517"/>
      <c r="AF47" s="514"/>
      <c r="AG47" s="459"/>
      <c r="AH47" s="517"/>
      <c r="AI47" s="514"/>
      <c r="AJ47" s="459"/>
      <c r="AK47" s="515"/>
      <c r="AL47" s="514"/>
      <c r="AM47" s="459"/>
      <c r="AN47" s="517"/>
    </row>
    <row r="48" spans="1:41" ht="13.8" thickBot="1" x14ac:dyDescent="0.35">
      <c r="A48" s="846"/>
      <c r="B48" s="289"/>
      <c r="C48" s="147"/>
      <c r="D48" s="148"/>
      <c r="E48" s="521"/>
      <c r="F48" s="490"/>
      <c r="G48" s="522"/>
      <c r="H48" s="521"/>
      <c r="I48" s="490"/>
      <c r="J48" s="523"/>
      <c r="K48" s="521"/>
      <c r="L48" s="490"/>
      <c r="M48" s="523"/>
      <c r="N48" s="521"/>
      <c r="O48" s="490"/>
      <c r="P48" s="523"/>
      <c r="Q48" s="521"/>
      <c r="R48" s="490"/>
      <c r="S48" s="522"/>
      <c r="T48" s="521"/>
      <c r="U48" s="490"/>
      <c r="V48" s="523"/>
      <c r="W48" s="521"/>
      <c r="X48" s="490"/>
      <c r="Y48" s="523"/>
      <c r="Z48" s="521"/>
      <c r="AA48" s="490"/>
      <c r="AB48" s="522"/>
      <c r="AC48" s="521"/>
      <c r="AD48" s="490"/>
      <c r="AE48" s="522"/>
      <c r="AF48" s="521"/>
      <c r="AG48" s="490"/>
      <c r="AH48" s="522"/>
      <c r="AI48" s="521"/>
      <c r="AJ48" s="490"/>
      <c r="AK48" s="523"/>
      <c r="AL48" s="521"/>
      <c r="AM48" s="490"/>
      <c r="AN48" s="522"/>
    </row>
    <row r="50" spans="8:8" x14ac:dyDescent="0.25">
      <c r="H50" s="439">
        <v>2879</v>
      </c>
    </row>
  </sheetData>
  <autoFilter ref="B7:X7" xr:uid="{00000000-0009-0000-0000-000006000000}"/>
  <mergeCells count="22">
    <mergeCell ref="F4:Q4"/>
    <mergeCell ref="S4:U4"/>
    <mergeCell ref="F1:Q1"/>
    <mergeCell ref="S1:U1"/>
    <mergeCell ref="F2:Q2"/>
    <mergeCell ref="S2:U2"/>
    <mergeCell ref="F3:Q3"/>
    <mergeCell ref="S3:U3"/>
    <mergeCell ref="B42:C42"/>
    <mergeCell ref="B29:AN29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N30"/>
  </mergeCells>
  <conditionalFormatting sqref="E32:AN48">
    <cfRule type="notContainsBlanks" dxfId="21" priority="7">
      <formula>LEN(TRIM(E32))&gt;0</formula>
    </cfRule>
  </conditionalFormatting>
  <conditionalFormatting sqref="F8:H8">
    <cfRule type="notContainsBlanks" dxfId="20" priority="1">
      <formula>LEN(TRIM(F8))&gt;0</formula>
    </cfRule>
  </conditionalFormatting>
  <conditionalFormatting sqref="F9:T24">
    <cfRule type="notContainsBlanks" dxfId="19" priority="4">
      <formula>LEN(TRIM(F9))&gt;0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52"/>
  <sheetViews>
    <sheetView zoomScale="90" zoomScaleNormal="90" workbookViewId="0">
      <pane xSplit="4" ySplit="1" topLeftCell="AF29" activePane="bottomRight" state="frozen"/>
      <selection pane="topRight" activeCell="E1" sqref="E1"/>
      <selection pane="bottomLeft" activeCell="A2" sqref="A2"/>
      <selection pane="bottomRight" activeCell="D43" sqref="D43"/>
    </sheetView>
  </sheetViews>
  <sheetFormatPr baseColWidth="10" defaultColWidth="11.44140625" defaultRowHeight="18.600000000000001" customHeight="1" x14ac:dyDescent="0.3"/>
  <cols>
    <col min="1" max="1" width="13.44140625" bestFit="1" customWidth="1"/>
    <col min="2" max="2" width="9.109375" customWidth="1"/>
    <col min="3" max="3" width="10" customWidth="1"/>
    <col min="4" max="4" width="42.21875" bestFit="1" customWidth="1"/>
    <col min="5" max="5" width="22.33203125" customWidth="1"/>
    <col min="6" max="6" width="12.77734375" customWidth="1"/>
    <col min="7" max="7" width="20.5546875" customWidth="1"/>
    <col min="8" max="8" width="11.88671875" customWidth="1"/>
    <col min="9" max="9" width="14" customWidth="1"/>
    <col min="10" max="10" width="20.109375" customWidth="1"/>
    <col min="11" max="11" width="19.44140625" customWidth="1"/>
    <col min="12" max="12" width="13.109375" customWidth="1"/>
    <col min="13" max="13" width="18.6640625" customWidth="1"/>
    <col min="14" max="14" width="20.5546875" customWidth="1"/>
    <col min="15" max="15" width="13.109375" customWidth="1"/>
    <col min="16" max="16" width="12.21875" customWidth="1"/>
    <col min="17" max="17" width="20.109375" customWidth="1"/>
    <col min="18" max="18" width="13.21875" customWidth="1"/>
    <col min="19" max="19" width="20.109375" customWidth="1"/>
    <col min="20" max="20" width="11.77734375" customWidth="1"/>
    <col min="21" max="21" width="11.6640625" customWidth="1"/>
    <col min="22" max="22" width="27.88671875" customWidth="1"/>
    <col min="23" max="24" width="11.33203125" customWidth="1"/>
    <col min="25" max="25" width="6.77734375" customWidth="1"/>
    <col min="26" max="26" width="11.21875" bestFit="1" customWidth="1"/>
    <col min="27" max="27" width="11.6640625" bestFit="1" customWidth="1"/>
    <col min="28" max="28" width="21.44140625" customWidth="1"/>
    <col min="29" max="29" width="11.5546875" bestFit="1" customWidth="1"/>
    <col min="30" max="30" width="12" bestFit="1" customWidth="1"/>
    <col min="31" max="31" width="21.21875" bestFit="1" customWidth="1"/>
    <col min="32" max="32" width="12.44140625" bestFit="1" customWidth="1"/>
    <col min="33" max="33" width="12" bestFit="1" customWidth="1"/>
    <col min="34" max="34" width="19.6640625" customWidth="1"/>
    <col min="35" max="35" width="11.5546875" bestFit="1" customWidth="1"/>
    <col min="36" max="36" width="12" bestFit="1" customWidth="1"/>
    <col min="37" max="37" width="20.44140625" customWidth="1"/>
    <col min="38" max="38" width="11.21875" bestFit="1" customWidth="1"/>
    <col min="39" max="39" width="11.6640625" bestFit="1" customWidth="1"/>
    <col min="40" max="40" width="14.44140625" bestFit="1" customWidth="1"/>
    <col min="41" max="41" width="17.6640625" customWidth="1"/>
    <col min="42" max="42" width="14.33203125" customWidth="1"/>
    <col min="43" max="43" width="13.88671875" customWidth="1"/>
  </cols>
  <sheetData>
    <row r="1" spans="1:26" ht="18.600000000000001" customHeight="1" thickBot="1" x14ac:dyDescent="0.35">
      <c r="E1" s="1"/>
      <c r="F1" s="1354" t="s">
        <v>0</v>
      </c>
      <c r="G1" s="1354"/>
      <c r="H1" s="1354"/>
      <c r="I1" s="1354"/>
      <c r="J1" s="1354"/>
      <c r="K1" s="1354"/>
      <c r="L1" s="1354"/>
      <c r="M1" s="1354"/>
      <c r="N1" s="1354"/>
      <c r="O1" s="1354"/>
      <c r="P1" s="1354"/>
      <c r="Q1" s="1354"/>
      <c r="R1" s="4"/>
      <c r="S1" s="1345" t="s">
        <v>1</v>
      </c>
      <c r="T1" s="1345"/>
      <c r="U1" s="1346"/>
    </row>
    <row r="2" spans="1:26" ht="18.600000000000001" customHeight="1" thickBot="1" x14ac:dyDescent="0.35">
      <c r="E2" s="2"/>
      <c r="F2" s="1355" t="s">
        <v>2</v>
      </c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5"/>
      <c r="S2" s="1345" t="s">
        <v>3</v>
      </c>
      <c r="T2" s="1345"/>
      <c r="U2" s="1346"/>
    </row>
    <row r="3" spans="1:26" ht="18.600000000000001" customHeight="1" thickBot="1" x14ac:dyDescent="0.35">
      <c r="E3" s="3"/>
      <c r="F3" s="1344" t="s">
        <v>4</v>
      </c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Q3" s="1344"/>
      <c r="R3" s="6"/>
      <c r="S3" s="1345" t="s">
        <v>5</v>
      </c>
      <c r="T3" s="1345"/>
      <c r="U3" s="1346"/>
    </row>
    <row r="4" spans="1:26" ht="18.600000000000001" customHeight="1" thickBot="1" x14ac:dyDescent="0.35">
      <c r="C4" s="8"/>
      <c r="D4" s="9" t="s">
        <v>6</v>
      </c>
      <c r="F4" s="1344" t="s">
        <v>39</v>
      </c>
      <c r="G4" s="1344"/>
      <c r="H4" s="1344"/>
      <c r="I4" s="1344"/>
      <c r="J4" s="1344"/>
      <c r="K4" s="1344"/>
      <c r="L4" s="1344"/>
      <c r="M4" s="1344"/>
      <c r="N4" s="1344"/>
      <c r="O4" s="1344"/>
      <c r="P4" s="1344"/>
      <c r="Q4" s="1344"/>
      <c r="R4" s="32"/>
      <c r="S4" s="1345" t="s">
        <v>7</v>
      </c>
      <c r="T4" s="1345"/>
      <c r="U4" s="1346"/>
    </row>
    <row r="6" spans="1:26" ht="18.600000000000001" customHeight="1" thickBot="1" x14ac:dyDescent="0.35"/>
    <row r="7" spans="1:26" ht="18.600000000000001" customHeight="1" thickBot="1" x14ac:dyDescent="0.35">
      <c r="B7" s="10" t="s">
        <v>9</v>
      </c>
      <c r="C7" s="11" t="s">
        <v>10</v>
      </c>
      <c r="D7" s="12" t="s">
        <v>11</v>
      </c>
      <c r="E7" s="14" t="s">
        <v>12</v>
      </c>
      <c r="F7" s="15" t="s">
        <v>13</v>
      </c>
      <c r="G7" s="15" t="s">
        <v>14</v>
      </c>
      <c r="H7" s="16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29" t="s">
        <v>20</v>
      </c>
      <c r="V7" s="30" t="s">
        <v>21</v>
      </c>
      <c r="W7" s="31" t="s">
        <v>22</v>
      </c>
      <c r="X7" s="31" t="s">
        <v>38</v>
      </c>
    </row>
    <row r="8" spans="1:26" s="194" customFormat="1" ht="18.600000000000001" customHeight="1" x14ac:dyDescent="0.25">
      <c r="A8" s="208" t="s">
        <v>163</v>
      </c>
      <c r="B8" s="103" t="s">
        <v>134</v>
      </c>
      <c r="C8" s="103"/>
      <c r="D8" s="353" t="s">
        <v>55</v>
      </c>
      <c r="E8" s="100" t="s">
        <v>54</v>
      </c>
      <c r="F8" s="233">
        <v>1550</v>
      </c>
      <c r="G8" s="228" t="s">
        <v>72</v>
      </c>
      <c r="H8" s="234">
        <v>45630</v>
      </c>
      <c r="I8" s="107">
        <v>2690</v>
      </c>
      <c r="J8" s="108">
        <v>45749</v>
      </c>
      <c r="K8" s="109">
        <v>2579868815</v>
      </c>
      <c r="L8" s="107"/>
      <c r="M8" s="108"/>
      <c r="N8" s="228"/>
      <c r="O8" s="107">
        <v>5900</v>
      </c>
      <c r="P8" s="108">
        <v>45804</v>
      </c>
      <c r="Q8" s="109">
        <v>7356956565</v>
      </c>
      <c r="R8" s="107"/>
      <c r="S8" s="108"/>
      <c r="T8" s="109"/>
      <c r="U8" s="110"/>
      <c r="V8" s="111"/>
      <c r="W8" s="106"/>
      <c r="X8" s="112"/>
      <c r="Y8" s="237"/>
    </row>
    <row r="9" spans="1:26" s="194" customFormat="1" ht="18.600000000000001" customHeight="1" x14ac:dyDescent="0.25">
      <c r="A9" s="208" t="s">
        <v>164</v>
      </c>
      <c r="B9" s="103" t="s">
        <v>134</v>
      </c>
      <c r="C9" s="103"/>
      <c r="D9" s="353" t="s">
        <v>59</v>
      </c>
      <c r="E9" s="100" t="s">
        <v>54</v>
      </c>
      <c r="F9" s="107">
        <v>1550</v>
      </c>
      <c r="G9" s="228">
        <v>4837211</v>
      </c>
      <c r="H9" s="234">
        <v>45608</v>
      </c>
      <c r="I9" s="107"/>
      <c r="J9" s="108"/>
      <c r="K9" s="228"/>
      <c r="L9" s="107"/>
      <c r="M9" s="108"/>
      <c r="N9" s="228"/>
      <c r="O9" s="107">
        <v>1000</v>
      </c>
      <c r="P9" s="108">
        <v>45871</v>
      </c>
      <c r="Q9" s="109">
        <v>20825</v>
      </c>
      <c r="R9" s="107"/>
      <c r="S9" s="108"/>
      <c r="T9" s="109"/>
      <c r="U9" s="110" t="s">
        <v>258</v>
      </c>
      <c r="V9" s="111">
        <v>0.3</v>
      </c>
      <c r="W9" s="106">
        <v>3838</v>
      </c>
      <c r="X9" s="112">
        <v>2686</v>
      </c>
    </row>
    <row r="10" spans="1:26" s="194" customFormat="1" ht="18.600000000000001" customHeight="1" x14ac:dyDescent="0.25">
      <c r="A10" s="208" t="s">
        <v>165</v>
      </c>
      <c r="B10" s="103" t="s">
        <v>134</v>
      </c>
      <c r="C10" s="103"/>
      <c r="D10" s="353" t="s">
        <v>70</v>
      </c>
      <c r="E10" s="100" t="s">
        <v>54</v>
      </c>
      <c r="F10" s="107">
        <v>1550</v>
      </c>
      <c r="G10" s="239">
        <v>8.5902125024336496E+16</v>
      </c>
      <c r="H10" s="234">
        <v>45656</v>
      </c>
      <c r="I10" s="107">
        <v>2690</v>
      </c>
      <c r="J10" s="108">
        <v>45656</v>
      </c>
      <c r="K10" s="109">
        <v>8.5902125024336496E+16</v>
      </c>
      <c r="L10" s="107">
        <v>2490</v>
      </c>
      <c r="M10" s="108">
        <v>45656</v>
      </c>
      <c r="N10" s="239">
        <v>8.5902125024336496E+16</v>
      </c>
      <c r="O10" s="107">
        <v>5500</v>
      </c>
      <c r="P10" s="108">
        <v>45805</v>
      </c>
      <c r="Q10" s="109">
        <v>8.59030729043148E+16</v>
      </c>
      <c r="R10" s="107"/>
      <c r="S10" s="108"/>
      <c r="T10" s="109"/>
      <c r="U10" s="110"/>
      <c r="V10" s="111"/>
      <c r="W10" s="106"/>
      <c r="X10" s="112"/>
    </row>
    <row r="11" spans="1:26" s="194" customFormat="1" ht="18.600000000000001" customHeight="1" x14ac:dyDescent="0.25">
      <c r="A11" s="208" t="s">
        <v>166</v>
      </c>
      <c r="B11" s="103" t="s">
        <v>134</v>
      </c>
      <c r="C11" s="103"/>
      <c r="D11" s="353" t="s">
        <v>71</v>
      </c>
      <c r="E11" s="100" t="s">
        <v>54</v>
      </c>
      <c r="F11" s="107">
        <v>1550</v>
      </c>
      <c r="G11" s="239" t="s">
        <v>72</v>
      </c>
      <c r="H11" s="234">
        <v>45656</v>
      </c>
      <c r="I11" s="107">
        <v>2690</v>
      </c>
      <c r="J11" s="108">
        <v>45908</v>
      </c>
      <c r="K11" s="109"/>
      <c r="L11" s="107">
        <v>2490</v>
      </c>
      <c r="M11" s="108">
        <v>45908</v>
      </c>
      <c r="N11" s="239"/>
      <c r="O11" s="107">
        <v>5900</v>
      </c>
      <c r="P11" s="108">
        <v>45910</v>
      </c>
      <c r="Q11" s="109">
        <v>1096</v>
      </c>
      <c r="R11" s="107"/>
      <c r="S11" s="108"/>
      <c r="T11" s="109"/>
      <c r="U11" s="110" t="s">
        <v>258</v>
      </c>
      <c r="V11" s="111">
        <v>0.25</v>
      </c>
      <c r="W11" s="106">
        <v>3838</v>
      </c>
      <c r="X11" s="112">
        <v>2879</v>
      </c>
    </row>
    <row r="12" spans="1:26" s="194" customFormat="1" ht="18.600000000000001" customHeight="1" x14ac:dyDescent="0.25">
      <c r="A12" s="208" t="s">
        <v>155</v>
      </c>
      <c r="B12" s="103" t="s">
        <v>134</v>
      </c>
      <c r="C12" s="103"/>
      <c r="D12" s="104" t="s">
        <v>93</v>
      </c>
      <c r="E12" s="100" t="s">
        <v>87</v>
      </c>
      <c r="F12" s="107">
        <v>1550</v>
      </c>
      <c r="G12" s="228" t="s">
        <v>92</v>
      </c>
      <c r="H12" s="234">
        <v>45693</v>
      </c>
      <c r="I12" s="107"/>
      <c r="J12" s="108"/>
      <c r="K12" s="109"/>
      <c r="L12" s="107"/>
      <c r="M12" s="108"/>
      <c r="N12" s="109"/>
      <c r="O12" s="107">
        <v>5500</v>
      </c>
      <c r="P12" s="108">
        <v>45806</v>
      </c>
      <c r="Q12" s="109">
        <v>65669</v>
      </c>
      <c r="R12" s="107"/>
      <c r="S12" s="108"/>
      <c r="T12" s="109"/>
      <c r="U12" s="110"/>
      <c r="V12" s="111"/>
      <c r="W12" s="106"/>
      <c r="X12" s="112"/>
      <c r="Z12" s="194">
        <f>3478.8*0.3</f>
        <v>1043.6400000000001</v>
      </c>
    </row>
    <row r="13" spans="1:26" s="194" customFormat="1" ht="18.600000000000001" customHeight="1" x14ac:dyDescent="0.25">
      <c r="A13" s="208" t="s">
        <v>167</v>
      </c>
      <c r="B13" s="103" t="s">
        <v>114</v>
      </c>
      <c r="C13" s="103"/>
      <c r="D13" s="353" t="s">
        <v>106</v>
      </c>
      <c r="E13" s="100" t="s">
        <v>87</v>
      </c>
      <c r="F13" s="1145">
        <v>1550</v>
      </c>
      <c r="G13" s="1144">
        <v>9395584719</v>
      </c>
      <c r="H13" s="234">
        <v>45712</v>
      </c>
      <c r="I13" s="1145">
        <v>1345</v>
      </c>
      <c r="J13" s="108">
        <v>45914</v>
      </c>
      <c r="K13" s="1146">
        <v>10706804</v>
      </c>
      <c r="L13" s="1145">
        <v>1992</v>
      </c>
      <c r="M13" s="108">
        <v>45712</v>
      </c>
      <c r="N13" s="1142">
        <v>9395584719</v>
      </c>
      <c r="O13" s="1145">
        <v>5900</v>
      </c>
      <c r="P13" s="108">
        <v>45884</v>
      </c>
      <c r="Q13" s="1146">
        <v>46297519</v>
      </c>
      <c r="R13" s="1145">
        <v>3085</v>
      </c>
      <c r="S13" s="108">
        <v>45895</v>
      </c>
      <c r="T13" s="1146">
        <v>29558936</v>
      </c>
      <c r="U13" s="110"/>
      <c r="V13" s="111"/>
      <c r="W13" s="106"/>
      <c r="X13" s="112"/>
      <c r="Z13" s="194">
        <f>3478.8-Z12</f>
        <v>2435.16</v>
      </c>
    </row>
    <row r="14" spans="1:26" s="194" customFormat="1" ht="18.600000000000001" customHeight="1" x14ac:dyDescent="0.25">
      <c r="A14" s="208" t="s">
        <v>168</v>
      </c>
      <c r="B14" s="103" t="s">
        <v>134</v>
      </c>
      <c r="C14" s="103"/>
      <c r="D14" s="353" t="s">
        <v>115</v>
      </c>
      <c r="E14" s="100" t="s">
        <v>87</v>
      </c>
      <c r="F14" s="107">
        <v>1550</v>
      </c>
      <c r="G14" s="228">
        <v>9730089422</v>
      </c>
      <c r="H14" s="234">
        <v>45716</v>
      </c>
      <c r="I14" s="107">
        <v>2690</v>
      </c>
      <c r="J14" s="108">
        <v>45733</v>
      </c>
      <c r="K14" s="109">
        <v>1187534286</v>
      </c>
      <c r="L14" s="107">
        <v>2490</v>
      </c>
      <c r="M14" s="108">
        <v>45716</v>
      </c>
      <c r="N14" s="109">
        <v>9730089422</v>
      </c>
      <c r="O14" s="107">
        <v>5900</v>
      </c>
      <c r="P14" s="108">
        <v>45875</v>
      </c>
      <c r="Q14" s="109">
        <v>56937164</v>
      </c>
      <c r="R14" s="107"/>
      <c r="S14" s="108"/>
      <c r="T14" s="109"/>
      <c r="U14" s="110"/>
      <c r="V14" s="113"/>
      <c r="W14" s="106"/>
      <c r="X14" s="112"/>
    </row>
    <row r="15" spans="1:26" s="194" customFormat="1" ht="18.600000000000001" customHeight="1" x14ac:dyDescent="0.25">
      <c r="A15" s="208" t="s">
        <v>237</v>
      </c>
      <c r="B15" s="103" t="s">
        <v>114</v>
      </c>
      <c r="C15" s="103" t="s">
        <v>394</v>
      </c>
      <c r="D15" s="353" t="s">
        <v>238</v>
      </c>
      <c r="E15" s="100" t="s">
        <v>195</v>
      </c>
      <c r="F15" s="107">
        <v>1550</v>
      </c>
      <c r="G15" s="228">
        <v>50725</v>
      </c>
      <c r="H15" s="234">
        <v>45843</v>
      </c>
      <c r="I15" s="107">
        <v>2690</v>
      </c>
      <c r="J15" s="108">
        <v>45897</v>
      </c>
      <c r="K15" s="109" t="s">
        <v>72</v>
      </c>
      <c r="L15" s="107">
        <v>2490</v>
      </c>
      <c r="M15" s="108">
        <v>45897</v>
      </c>
      <c r="N15" s="109">
        <v>178267</v>
      </c>
      <c r="O15" s="107">
        <v>5900</v>
      </c>
      <c r="P15" s="108">
        <v>45897</v>
      </c>
      <c r="Q15" s="109">
        <v>178267</v>
      </c>
      <c r="R15" s="107">
        <v>3085</v>
      </c>
      <c r="S15" s="108">
        <v>45897</v>
      </c>
      <c r="T15" s="109">
        <v>178267</v>
      </c>
      <c r="U15" s="110" t="s">
        <v>211</v>
      </c>
      <c r="V15" s="113">
        <v>0.3</v>
      </c>
      <c r="W15" s="106">
        <v>3199</v>
      </c>
      <c r="X15" s="112">
        <v>2239</v>
      </c>
    </row>
    <row r="16" spans="1:26" s="194" customFormat="1" ht="18.600000000000001" customHeight="1" x14ac:dyDescent="0.25">
      <c r="A16" s="208" t="s">
        <v>281</v>
      </c>
      <c r="B16" s="99" t="s">
        <v>193</v>
      </c>
      <c r="C16" s="99"/>
      <c r="D16" s="355" t="s">
        <v>239</v>
      </c>
      <c r="E16" s="96" t="s">
        <v>195</v>
      </c>
      <c r="F16" s="97">
        <v>1700</v>
      </c>
      <c r="G16" s="240">
        <v>6708635</v>
      </c>
      <c r="H16" s="98">
        <v>45848</v>
      </c>
      <c r="I16" s="107">
        <v>2690</v>
      </c>
      <c r="J16" s="108">
        <v>45748</v>
      </c>
      <c r="K16" s="109">
        <v>221514</v>
      </c>
      <c r="L16" s="107">
        <v>790</v>
      </c>
      <c r="M16" s="108">
        <v>45748</v>
      </c>
      <c r="N16" s="109">
        <v>221514</v>
      </c>
      <c r="O16" s="107">
        <v>5900</v>
      </c>
      <c r="P16" s="108">
        <v>45869</v>
      </c>
      <c r="Q16" s="109">
        <v>9584764</v>
      </c>
      <c r="R16" s="107"/>
      <c r="S16" s="108"/>
      <c r="T16" s="109"/>
      <c r="U16" s="110"/>
      <c r="V16" s="113"/>
      <c r="W16" s="106"/>
      <c r="X16" s="112"/>
    </row>
    <row r="17" spans="1:40" s="196" customFormat="1" ht="18.600000000000001" customHeight="1" x14ac:dyDescent="0.25">
      <c r="A17" s="189" t="s">
        <v>273</v>
      </c>
      <c r="B17" s="189" t="s">
        <v>193</v>
      </c>
      <c r="C17" s="189"/>
      <c r="D17" s="353" t="s">
        <v>246</v>
      </c>
      <c r="E17" s="100" t="s">
        <v>195</v>
      </c>
      <c r="F17" s="305">
        <v>1860</v>
      </c>
      <c r="G17" s="228">
        <v>250716</v>
      </c>
      <c r="H17" s="234">
        <v>45854</v>
      </c>
      <c r="I17" s="114">
        <v>2690</v>
      </c>
      <c r="J17" s="115">
        <v>45854</v>
      </c>
      <c r="K17" s="116">
        <v>250716</v>
      </c>
      <c r="L17" s="114">
        <v>2490</v>
      </c>
      <c r="M17" s="115">
        <v>45854</v>
      </c>
      <c r="N17" s="116">
        <v>250716</v>
      </c>
      <c r="O17" s="114">
        <v>5900</v>
      </c>
      <c r="P17" s="115">
        <v>45824</v>
      </c>
      <c r="Q17" s="116">
        <v>250716</v>
      </c>
      <c r="R17" s="114"/>
      <c r="S17" s="117"/>
      <c r="T17" s="116"/>
      <c r="U17" s="117"/>
      <c r="V17" s="250"/>
      <c r="W17" s="118"/>
      <c r="X17" s="119"/>
    </row>
    <row r="18" spans="1:40" s="194" customFormat="1" ht="18.600000000000001" customHeight="1" x14ac:dyDescent="0.25">
      <c r="A18" s="208" t="s">
        <v>275</v>
      </c>
      <c r="B18" s="103" t="s">
        <v>114</v>
      </c>
      <c r="C18" s="103"/>
      <c r="D18" s="353" t="s">
        <v>256</v>
      </c>
      <c r="E18" s="100" t="s">
        <v>252</v>
      </c>
      <c r="F18" s="110" t="s">
        <v>253</v>
      </c>
      <c r="G18" s="109">
        <v>21370334</v>
      </c>
      <c r="H18" s="234">
        <v>45856</v>
      </c>
      <c r="I18" s="107">
        <v>2690</v>
      </c>
      <c r="J18" s="108">
        <v>45856</v>
      </c>
      <c r="K18" s="109">
        <v>213703334</v>
      </c>
      <c r="L18" s="107"/>
      <c r="M18" s="108"/>
      <c r="N18" s="109"/>
      <c r="O18" s="107">
        <v>5900</v>
      </c>
      <c r="P18" s="108">
        <v>45897</v>
      </c>
      <c r="Q18" s="109">
        <v>1748</v>
      </c>
      <c r="R18" s="107"/>
      <c r="S18" s="108"/>
      <c r="T18" s="109"/>
      <c r="U18" s="110"/>
      <c r="V18" s="113"/>
      <c r="W18" s="106"/>
      <c r="X18" s="112"/>
    </row>
    <row r="19" spans="1:40" s="194" customFormat="1" ht="18.600000000000001" customHeight="1" x14ac:dyDescent="0.25">
      <c r="A19" s="208"/>
      <c r="B19" s="103" t="s">
        <v>193</v>
      </c>
      <c r="C19" s="103"/>
      <c r="D19" s="353" t="s">
        <v>423</v>
      </c>
      <c r="E19" s="100" t="s">
        <v>54</v>
      </c>
      <c r="F19" s="304">
        <v>1450</v>
      </c>
      <c r="G19" s="228">
        <v>4647997</v>
      </c>
      <c r="H19" s="234">
        <v>45677</v>
      </c>
      <c r="I19" s="107"/>
      <c r="J19" s="108"/>
      <c r="K19" s="109"/>
      <c r="L19" s="107"/>
      <c r="M19" s="108"/>
      <c r="N19" s="109"/>
      <c r="O19" s="107"/>
      <c r="P19" s="108"/>
      <c r="Q19" s="109"/>
      <c r="R19" s="107"/>
      <c r="S19" s="120"/>
      <c r="T19" s="121"/>
      <c r="U19" s="110" t="s">
        <v>258</v>
      </c>
      <c r="V19" s="113"/>
      <c r="W19" s="106"/>
      <c r="X19" s="112"/>
    </row>
    <row r="20" spans="1:40" s="194" customFormat="1" ht="18.600000000000001" customHeight="1" x14ac:dyDescent="0.25">
      <c r="A20" s="208">
        <v>24</v>
      </c>
      <c r="B20" s="103" t="s">
        <v>114</v>
      </c>
      <c r="C20" s="103" t="s">
        <v>263</v>
      </c>
      <c r="D20" s="1138" t="s">
        <v>262</v>
      </c>
      <c r="E20" s="100" t="s">
        <v>195</v>
      </c>
      <c r="F20" s="304">
        <v>1860</v>
      </c>
      <c r="G20" s="228">
        <v>59269061</v>
      </c>
      <c r="H20" s="234">
        <v>45861</v>
      </c>
      <c r="I20" s="107">
        <v>1345</v>
      </c>
      <c r="J20" s="108"/>
      <c r="K20" s="109"/>
      <c r="L20" s="107">
        <v>1743</v>
      </c>
      <c r="M20" s="108">
        <v>45861</v>
      </c>
      <c r="N20" s="109">
        <v>59269061</v>
      </c>
      <c r="O20" s="107">
        <v>5900</v>
      </c>
      <c r="P20" s="108">
        <v>45888</v>
      </c>
      <c r="Q20" s="109">
        <v>1245877</v>
      </c>
      <c r="R20" s="107">
        <v>3085</v>
      </c>
      <c r="S20" s="332">
        <v>45888</v>
      </c>
      <c r="T20" s="109">
        <v>1245877</v>
      </c>
      <c r="U20" s="110" t="s">
        <v>258</v>
      </c>
      <c r="V20" s="113">
        <v>0.3</v>
      </c>
      <c r="W20" s="106"/>
      <c r="X20" s="112">
        <v>2687</v>
      </c>
    </row>
    <row r="21" spans="1:40" s="194" customFormat="1" ht="18.600000000000001" customHeight="1" x14ac:dyDescent="0.25">
      <c r="A21" s="208" t="s">
        <v>373</v>
      </c>
      <c r="B21" s="290" t="s">
        <v>193</v>
      </c>
      <c r="C21" s="103" t="s">
        <v>372</v>
      </c>
      <c r="D21" s="353" t="s">
        <v>666</v>
      </c>
      <c r="E21" s="100" t="s">
        <v>195</v>
      </c>
      <c r="F21" s="110" t="s">
        <v>66</v>
      </c>
      <c r="G21" s="228" t="s">
        <v>66</v>
      </c>
      <c r="H21" s="234">
        <v>45898</v>
      </c>
      <c r="I21" s="107">
        <v>1345</v>
      </c>
      <c r="J21" s="108">
        <v>45898</v>
      </c>
      <c r="K21" s="109">
        <v>87801674</v>
      </c>
      <c r="L21" s="107">
        <v>1245</v>
      </c>
      <c r="M21" s="108">
        <v>45898</v>
      </c>
      <c r="N21" s="109">
        <v>87801674</v>
      </c>
      <c r="O21" s="107">
        <v>5900</v>
      </c>
      <c r="P21" s="108">
        <v>45906</v>
      </c>
      <c r="Q21" s="109">
        <v>9712449</v>
      </c>
      <c r="R21" s="107"/>
      <c r="S21" s="108"/>
      <c r="T21" s="109"/>
      <c r="U21" s="110"/>
      <c r="V21" s="111"/>
      <c r="W21" s="106"/>
      <c r="X21" s="112"/>
    </row>
    <row r="22" spans="1:40" s="194" customFormat="1" ht="18.600000000000001" customHeight="1" x14ac:dyDescent="0.25">
      <c r="A22" s="208" t="s">
        <v>378</v>
      </c>
      <c r="B22" s="290" t="s">
        <v>193</v>
      </c>
      <c r="C22" s="103" t="s">
        <v>372</v>
      </c>
      <c r="D22" s="354" t="s">
        <v>377</v>
      </c>
      <c r="E22" s="338" t="s">
        <v>195</v>
      </c>
      <c r="F22" s="322" t="s">
        <v>66</v>
      </c>
      <c r="G22" s="339" t="s">
        <v>66</v>
      </c>
      <c r="H22" s="340">
        <v>45895</v>
      </c>
      <c r="I22" s="315">
        <v>2690</v>
      </c>
      <c r="J22" s="316">
        <v>45894</v>
      </c>
      <c r="K22" s="314">
        <v>1997964</v>
      </c>
      <c r="L22" s="315">
        <v>1245</v>
      </c>
      <c r="M22" s="316">
        <v>45894</v>
      </c>
      <c r="N22" s="314">
        <v>1997964</v>
      </c>
      <c r="O22" s="315">
        <v>5900</v>
      </c>
      <c r="P22" s="316">
        <v>45894</v>
      </c>
      <c r="Q22" s="314">
        <v>1997964</v>
      </c>
      <c r="R22" s="315"/>
      <c r="S22" s="316"/>
      <c r="T22" s="314"/>
      <c r="U22" s="322"/>
      <c r="V22" s="323"/>
      <c r="W22" s="324"/>
      <c r="X22" s="325"/>
    </row>
    <row r="23" spans="1:40" s="194" customFormat="1" ht="18.600000000000001" customHeight="1" x14ac:dyDescent="0.25">
      <c r="A23" s="208" t="s">
        <v>414</v>
      </c>
      <c r="B23" s="290" t="s">
        <v>193</v>
      </c>
      <c r="C23" s="103"/>
      <c r="D23" s="354" t="s">
        <v>413</v>
      </c>
      <c r="E23" s="338" t="s">
        <v>195</v>
      </c>
      <c r="F23" s="322" t="s">
        <v>66</v>
      </c>
      <c r="G23" s="102" t="s">
        <v>66</v>
      </c>
      <c r="H23" s="235">
        <v>45900</v>
      </c>
      <c r="I23" s="315">
        <v>1345</v>
      </c>
      <c r="J23" s="316">
        <v>45900</v>
      </c>
      <c r="K23" s="314" t="s">
        <v>72</v>
      </c>
      <c r="L23" s="315">
        <v>1245</v>
      </c>
      <c r="M23" s="316">
        <v>45900</v>
      </c>
      <c r="N23" s="314" t="s">
        <v>72</v>
      </c>
      <c r="O23" s="315">
        <v>5900</v>
      </c>
      <c r="P23" s="316">
        <v>45912</v>
      </c>
      <c r="Q23" s="314">
        <v>2493</v>
      </c>
      <c r="R23" s="315"/>
      <c r="S23" s="316"/>
      <c r="T23" s="314"/>
      <c r="U23" s="322" t="s">
        <v>258</v>
      </c>
      <c r="V23" s="323">
        <v>0.3</v>
      </c>
      <c r="W23" s="324"/>
      <c r="X23" s="325">
        <v>2687</v>
      </c>
    </row>
    <row r="24" spans="1:40" s="194" customFormat="1" ht="18.600000000000001" customHeight="1" x14ac:dyDescent="0.25">
      <c r="A24" s="208"/>
      <c r="B24" s="290"/>
      <c r="C24" s="103"/>
      <c r="D24" s="313"/>
      <c r="E24" s="338"/>
      <c r="F24" s="322"/>
      <c r="G24" s="339"/>
      <c r="H24" s="340"/>
      <c r="I24" s="315"/>
      <c r="J24" s="316"/>
      <c r="K24" s="314"/>
      <c r="L24" s="315"/>
      <c r="M24" s="316"/>
      <c r="N24" s="314"/>
      <c r="O24" s="315"/>
      <c r="P24" s="316"/>
      <c r="Q24" s="314"/>
      <c r="R24" s="315"/>
      <c r="S24" s="316"/>
      <c r="T24" s="314"/>
      <c r="U24" s="322"/>
      <c r="V24" s="323"/>
      <c r="W24" s="324"/>
      <c r="X24" s="325"/>
    </row>
    <row r="25" spans="1:40" s="194" customFormat="1" ht="18.600000000000001" customHeight="1" thickBot="1" x14ac:dyDescent="0.3">
      <c r="A25" s="208"/>
      <c r="B25" s="290"/>
      <c r="C25" s="103"/>
      <c r="D25" s="123"/>
      <c r="E25" s="124"/>
      <c r="F25" s="125"/>
      <c r="G25" s="229"/>
      <c r="H25" s="126"/>
      <c r="I25" s="127"/>
      <c r="J25" s="126"/>
      <c r="K25" s="128"/>
      <c r="L25" s="127"/>
      <c r="M25" s="126"/>
      <c r="N25" s="128"/>
      <c r="O25" s="127"/>
      <c r="P25" s="126"/>
      <c r="Q25" s="128"/>
      <c r="R25" s="127"/>
      <c r="S25" s="126"/>
      <c r="T25" s="128"/>
      <c r="U25" s="125"/>
      <c r="V25" s="129"/>
      <c r="W25" s="130"/>
      <c r="X25" s="131"/>
    </row>
    <row r="27" spans="1:40" ht="18.600000000000001" customHeight="1" x14ac:dyDescent="0.3">
      <c r="G27" s="71">
        <f>F16+I16+L16</f>
        <v>5180</v>
      </c>
    </row>
    <row r="29" spans="1:40" ht="18.600000000000001" customHeight="1" thickBot="1" x14ac:dyDescent="0.35"/>
    <row r="30" spans="1:40" ht="18.600000000000001" customHeight="1" thickBot="1" x14ac:dyDescent="0.35">
      <c r="B30" s="1351" t="s">
        <v>24</v>
      </c>
      <c r="C30" s="1352"/>
      <c r="D30" s="1352"/>
      <c r="E30" s="1352"/>
      <c r="F30" s="1352"/>
      <c r="G30" s="1352"/>
      <c r="H30" s="1352"/>
      <c r="I30" s="1352"/>
      <c r="J30" s="1352"/>
      <c r="K30" s="1352"/>
      <c r="L30" s="1352"/>
      <c r="M30" s="1352"/>
      <c r="N30" s="1352"/>
      <c r="O30" s="1352"/>
      <c r="P30" s="1352"/>
      <c r="Q30" s="1352"/>
      <c r="R30" s="1352"/>
      <c r="S30" s="1352"/>
      <c r="T30" s="1352"/>
      <c r="U30" s="1352"/>
      <c r="V30" s="1352"/>
      <c r="W30" s="1352"/>
      <c r="X30" s="1352"/>
      <c r="Y30" s="1352"/>
      <c r="Z30" s="1352"/>
      <c r="AA30" s="1352"/>
      <c r="AB30" s="1352"/>
      <c r="AC30" s="1352"/>
      <c r="AD30" s="1352"/>
      <c r="AE30" s="1352"/>
      <c r="AF30" s="1352"/>
      <c r="AG30" s="1352"/>
      <c r="AH30" s="1352"/>
      <c r="AI30" s="1352"/>
      <c r="AJ30" s="1352"/>
      <c r="AK30" s="1352"/>
      <c r="AL30" s="1352"/>
      <c r="AM30" s="1352"/>
      <c r="AN30" s="1353"/>
    </row>
    <row r="31" spans="1:40" ht="18.600000000000001" customHeight="1" thickBot="1" x14ac:dyDescent="0.35">
      <c r="A31" s="283"/>
      <c r="B31" s="281" t="s">
        <v>9</v>
      </c>
      <c r="C31" s="46" t="s">
        <v>10</v>
      </c>
      <c r="D31" s="45" t="s">
        <v>11</v>
      </c>
      <c r="E31" s="1339" t="s">
        <v>25</v>
      </c>
      <c r="F31" s="1340"/>
      <c r="G31" s="1341"/>
      <c r="H31" s="1342" t="s">
        <v>26</v>
      </c>
      <c r="I31" s="1342"/>
      <c r="J31" s="1342"/>
      <c r="K31" s="1339" t="s">
        <v>27</v>
      </c>
      <c r="L31" s="1340"/>
      <c r="M31" s="1341"/>
      <c r="N31" s="1342" t="s">
        <v>28</v>
      </c>
      <c r="O31" s="1342"/>
      <c r="P31" s="1342"/>
      <c r="Q31" s="1339" t="s">
        <v>29</v>
      </c>
      <c r="R31" s="1340"/>
      <c r="S31" s="1341"/>
      <c r="T31" s="1342" t="s">
        <v>30</v>
      </c>
      <c r="U31" s="1342"/>
      <c r="V31" s="1342"/>
      <c r="W31" s="1339" t="s">
        <v>36</v>
      </c>
      <c r="X31" s="1340"/>
      <c r="Y31" s="1341"/>
      <c r="Z31" s="1342" t="s">
        <v>31</v>
      </c>
      <c r="AA31" s="1342"/>
      <c r="AB31" s="1342"/>
      <c r="AC31" s="1339" t="s">
        <v>32</v>
      </c>
      <c r="AD31" s="1340"/>
      <c r="AE31" s="1341"/>
      <c r="AF31" s="1342" t="s">
        <v>33</v>
      </c>
      <c r="AG31" s="1342"/>
      <c r="AH31" s="1342"/>
      <c r="AI31" s="1339" t="s">
        <v>34</v>
      </c>
      <c r="AJ31" s="1340"/>
      <c r="AK31" s="1341"/>
      <c r="AL31" s="1342" t="s">
        <v>35</v>
      </c>
      <c r="AM31" s="1342"/>
      <c r="AN31" s="1343"/>
    </row>
    <row r="32" spans="1:40" ht="18.600000000000001" customHeight="1" thickBot="1" x14ac:dyDescent="0.35">
      <c r="A32" s="283"/>
      <c r="B32" s="48"/>
      <c r="C32" s="48"/>
      <c r="D32" s="48"/>
      <c r="E32" s="89" t="s">
        <v>37</v>
      </c>
      <c r="F32" s="90" t="s">
        <v>15</v>
      </c>
      <c r="G32" s="91" t="s">
        <v>14</v>
      </c>
      <c r="H32" s="90" t="s">
        <v>37</v>
      </c>
      <c r="I32" s="90" t="s">
        <v>15</v>
      </c>
      <c r="J32" s="90" t="s">
        <v>14</v>
      </c>
      <c r="K32" s="89" t="s">
        <v>37</v>
      </c>
      <c r="L32" s="90" t="s">
        <v>15</v>
      </c>
      <c r="M32" s="91" t="s">
        <v>14</v>
      </c>
      <c r="N32" s="90" t="s">
        <v>37</v>
      </c>
      <c r="O32" s="90" t="s">
        <v>15</v>
      </c>
      <c r="P32" s="90" t="s">
        <v>14</v>
      </c>
      <c r="Q32" s="89" t="s">
        <v>37</v>
      </c>
      <c r="R32" s="90" t="s">
        <v>15</v>
      </c>
      <c r="S32" s="91" t="s">
        <v>14</v>
      </c>
      <c r="T32" s="90" t="s">
        <v>37</v>
      </c>
      <c r="U32" s="90" t="s">
        <v>15</v>
      </c>
      <c r="V32" s="90" t="s">
        <v>14</v>
      </c>
      <c r="W32" s="89" t="s">
        <v>37</v>
      </c>
      <c r="X32" s="90" t="s">
        <v>15</v>
      </c>
      <c r="Y32" s="91" t="s">
        <v>14</v>
      </c>
      <c r="Z32" s="90" t="s">
        <v>37</v>
      </c>
      <c r="AA32" s="90" t="s">
        <v>15</v>
      </c>
      <c r="AB32" s="90" t="s">
        <v>14</v>
      </c>
      <c r="AC32" s="89" t="s">
        <v>37</v>
      </c>
      <c r="AD32" s="90" t="s">
        <v>15</v>
      </c>
      <c r="AE32" s="91" t="s">
        <v>14</v>
      </c>
      <c r="AF32" s="90" t="s">
        <v>37</v>
      </c>
      <c r="AG32" s="90" t="s">
        <v>15</v>
      </c>
      <c r="AH32" s="90" t="s">
        <v>14</v>
      </c>
      <c r="AI32" s="89" t="s">
        <v>37</v>
      </c>
      <c r="AJ32" s="90" t="s">
        <v>15</v>
      </c>
      <c r="AK32" s="91" t="s">
        <v>14</v>
      </c>
      <c r="AL32" s="90" t="s">
        <v>37</v>
      </c>
      <c r="AM32" s="90" t="s">
        <v>15</v>
      </c>
      <c r="AN32" s="91" t="s">
        <v>14</v>
      </c>
    </row>
    <row r="33" spans="1:46" s="194" customFormat="1" ht="18.600000000000001" customHeight="1" x14ac:dyDescent="0.3">
      <c r="A33" s="208"/>
      <c r="B33" s="286"/>
      <c r="C33" s="132" t="s">
        <v>418</v>
      </c>
      <c r="D33" s="186" t="str">
        <f t="shared" ref="D33:D36" si="0">D8</f>
        <v>DERECK BONILLA MARTINEZ</v>
      </c>
      <c r="E33" s="350"/>
      <c r="F33" s="351"/>
      <c r="G33" s="352"/>
      <c r="H33" s="135">
        <v>2879</v>
      </c>
      <c r="I33" s="133">
        <v>45901</v>
      </c>
      <c r="J33" s="134">
        <v>71535198</v>
      </c>
      <c r="K33" s="135">
        <v>2879</v>
      </c>
      <c r="L33" s="133">
        <v>45931</v>
      </c>
      <c r="M33" s="134">
        <v>57564043</v>
      </c>
      <c r="N33" s="135">
        <v>2879</v>
      </c>
      <c r="O33" s="133">
        <v>45964</v>
      </c>
      <c r="P33" s="134">
        <v>13093888</v>
      </c>
      <c r="Q33" s="135">
        <v>2879</v>
      </c>
      <c r="R33" s="133">
        <v>45993</v>
      </c>
      <c r="S33" s="134">
        <v>72290525</v>
      </c>
      <c r="T33" s="135">
        <v>2879</v>
      </c>
      <c r="U33" s="133">
        <v>46025</v>
      </c>
      <c r="V33" s="134">
        <v>53270951</v>
      </c>
      <c r="W33" s="367"/>
      <c r="X33" s="351"/>
      <c r="Y33" s="352"/>
      <c r="Z33" s="135">
        <v>2879</v>
      </c>
      <c r="AA33" s="136">
        <v>46056</v>
      </c>
      <c r="AB33" s="137">
        <v>88690604</v>
      </c>
      <c r="AC33" s="135">
        <v>2879</v>
      </c>
      <c r="AD33" s="136">
        <v>46084</v>
      </c>
      <c r="AE33" s="137">
        <v>58449974</v>
      </c>
      <c r="AF33" s="135">
        <v>2878</v>
      </c>
      <c r="AG33" s="136">
        <v>46113</v>
      </c>
      <c r="AH33" s="137">
        <v>55025245</v>
      </c>
      <c r="AI33" s="135">
        <v>2878</v>
      </c>
      <c r="AJ33" s="136">
        <v>46143</v>
      </c>
      <c r="AK33" s="134">
        <v>45596536</v>
      </c>
      <c r="AL33" s="135">
        <v>2879</v>
      </c>
      <c r="AM33" s="136">
        <v>46175</v>
      </c>
      <c r="AN33" s="426">
        <v>35973757</v>
      </c>
    </row>
    <row r="34" spans="1:46" s="194" customFormat="1" ht="18.600000000000001" customHeight="1" x14ac:dyDescent="0.3">
      <c r="A34" s="208"/>
      <c r="B34" s="286"/>
      <c r="C34" s="138"/>
      <c r="D34" s="186" t="str">
        <f t="shared" si="0"/>
        <v xml:space="preserve">RODRIGO SORIANO LAVÍN </v>
      </c>
      <c r="E34" s="301"/>
      <c r="F34" s="302"/>
      <c r="G34" s="303"/>
      <c r="H34" s="142">
        <v>2686</v>
      </c>
      <c r="I34" s="140">
        <v>45903</v>
      </c>
      <c r="J34" s="141">
        <v>3358411</v>
      </c>
      <c r="K34" s="142">
        <v>3086</v>
      </c>
      <c r="L34" s="140">
        <v>45940</v>
      </c>
      <c r="M34" s="141">
        <v>3583541</v>
      </c>
      <c r="N34" s="142">
        <v>2686</v>
      </c>
      <c r="O34" s="140">
        <v>45966</v>
      </c>
      <c r="P34" s="141">
        <v>9061654</v>
      </c>
      <c r="Q34" s="142">
        <v>2686</v>
      </c>
      <c r="R34" s="140">
        <v>45996</v>
      </c>
      <c r="S34" s="141">
        <v>55669878</v>
      </c>
      <c r="T34" s="142">
        <v>2686</v>
      </c>
      <c r="U34" s="140">
        <v>46025</v>
      </c>
      <c r="V34" s="141">
        <v>2069159</v>
      </c>
      <c r="W34" s="333"/>
      <c r="X34" s="302"/>
      <c r="Y34" s="303"/>
      <c r="Z34" s="142">
        <v>2686</v>
      </c>
      <c r="AA34" s="140">
        <v>46056</v>
      </c>
      <c r="AB34" s="144">
        <v>217431</v>
      </c>
      <c r="AC34" s="142">
        <v>2686</v>
      </c>
      <c r="AD34" s="140">
        <v>46085</v>
      </c>
      <c r="AE34" s="144">
        <v>40326</v>
      </c>
      <c r="AF34" s="142">
        <v>2686</v>
      </c>
      <c r="AG34" s="140">
        <v>46113</v>
      </c>
      <c r="AH34" s="144">
        <v>663958</v>
      </c>
      <c r="AI34" s="142">
        <v>2686</v>
      </c>
      <c r="AJ34" s="140">
        <v>46146</v>
      </c>
      <c r="AK34" s="141">
        <v>405226</v>
      </c>
      <c r="AL34" s="142">
        <v>2686</v>
      </c>
      <c r="AM34" s="140">
        <v>46176</v>
      </c>
      <c r="AN34" s="141">
        <v>2152112</v>
      </c>
      <c r="AO34" s="194" t="s">
        <v>816</v>
      </c>
    </row>
    <row r="35" spans="1:46" s="194" customFormat="1" ht="18.600000000000001" customHeight="1" x14ac:dyDescent="0.3">
      <c r="A35" s="208"/>
      <c r="B35" s="286"/>
      <c r="C35" s="138"/>
      <c r="D35" s="186" t="str">
        <f t="shared" si="0"/>
        <v>GUTIERREZ VEGA DAYRA VANESA</v>
      </c>
      <c r="E35" s="301"/>
      <c r="F35" s="302"/>
      <c r="G35" s="303"/>
      <c r="H35" s="142">
        <v>2687</v>
      </c>
      <c r="I35" s="140">
        <v>45903</v>
      </c>
      <c r="J35" s="141">
        <v>93843846</v>
      </c>
      <c r="K35" s="142">
        <v>2687</v>
      </c>
      <c r="L35" s="140">
        <v>45931</v>
      </c>
      <c r="M35" s="141">
        <v>9217927</v>
      </c>
      <c r="N35" s="142">
        <v>2687</v>
      </c>
      <c r="O35" s="140">
        <v>45966</v>
      </c>
      <c r="P35" s="141">
        <v>48765616</v>
      </c>
      <c r="Q35" s="142">
        <v>2687</v>
      </c>
      <c r="R35" s="140">
        <v>46000</v>
      </c>
      <c r="S35" s="141">
        <v>36193672</v>
      </c>
      <c r="T35" s="142">
        <v>2687</v>
      </c>
      <c r="U35" s="140">
        <v>46027</v>
      </c>
      <c r="V35" s="141">
        <v>78923078</v>
      </c>
      <c r="W35" s="333"/>
      <c r="X35" s="302"/>
      <c r="Y35" s="303"/>
      <c r="Z35" s="142">
        <v>2687</v>
      </c>
      <c r="AA35" s="140">
        <v>46056</v>
      </c>
      <c r="AB35" s="144">
        <v>8822285</v>
      </c>
      <c r="AC35" s="142">
        <v>2687</v>
      </c>
      <c r="AD35" s="140">
        <v>46086</v>
      </c>
      <c r="AE35" s="144">
        <v>99922069</v>
      </c>
      <c r="AF35" s="142">
        <v>2687</v>
      </c>
      <c r="AG35" s="140">
        <v>46115</v>
      </c>
      <c r="AH35" s="144">
        <v>79836391</v>
      </c>
      <c r="AI35" s="142">
        <v>2687</v>
      </c>
      <c r="AJ35" s="140">
        <v>46147</v>
      </c>
      <c r="AK35" s="141">
        <v>52361928</v>
      </c>
      <c r="AL35" s="142">
        <v>2687</v>
      </c>
      <c r="AM35" s="65">
        <v>46174</v>
      </c>
      <c r="AN35" s="63">
        <v>51920061</v>
      </c>
    </row>
    <row r="36" spans="1:46" s="194" customFormat="1" ht="18.600000000000001" customHeight="1" x14ac:dyDescent="0.3">
      <c r="A36" s="208" t="s">
        <v>313</v>
      </c>
      <c r="B36" s="286"/>
      <c r="C36" s="138"/>
      <c r="D36" s="379" t="str">
        <f t="shared" si="0"/>
        <v xml:space="preserve">RAUL MANUEL HAMILTON ARIAS </v>
      </c>
      <c r="E36" s="139"/>
      <c r="F36" s="140"/>
      <c r="G36" s="141"/>
      <c r="H36" s="142">
        <v>2879</v>
      </c>
      <c r="I36" s="140">
        <v>45905</v>
      </c>
      <c r="J36" s="141">
        <v>69790407</v>
      </c>
      <c r="K36" s="142">
        <v>2879</v>
      </c>
      <c r="L36" s="140">
        <v>45935</v>
      </c>
      <c r="M36" s="141">
        <v>6736672</v>
      </c>
      <c r="N36" s="142">
        <v>2879</v>
      </c>
      <c r="O36" s="140">
        <v>45964</v>
      </c>
      <c r="P36" s="141">
        <v>20585830</v>
      </c>
      <c r="Q36" s="142">
        <v>2879</v>
      </c>
      <c r="R36" s="140">
        <v>46048</v>
      </c>
      <c r="S36" s="141">
        <v>36793852</v>
      </c>
      <c r="T36" s="142">
        <v>2879</v>
      </c>
      <c r="U36" s="140">
        <v>46078</v>
      </c>
      <c r="V36" s="141" t="s">
        <v>510</v>
      </c>
      <c r="W36" s="142"/>
      <c r="X36" s="140"/>
      <c r="Y36" s="141"/>
      <c r="Z36" s="142">
        <v>2879</v>
      </c>
      <c r="AA36" s="140">
        <v>46106</v>
      </c>
      <c r="AB36" s="144" t="s">
        <v>661</v>
      </c>
      <c r="AC36" s="142">
        <v>2879</v>
      </c>
      <c r="AD36" s="140">
        <v>46106</v>
      </c>
      <c r="AE36" s="144" t="s">
        <v>661</v>
      </c>
      <c r="AF36" s="142">
        <v>2879</v>
      </c>
      <c r="AG36" s="140">
        <v>46161</v>
      </c>
      <c r="AH36" s="144" t="s">
        <v>662</v>
      </c>
      <c r="AI36" s="142">
        <v>2879</v>
      </c>
      <c r="AJ36" s="140">
        <v>46183</v>
      </c>
      <c r="AK36" s="141">
        <v>134641</v>
      </c>
      <c r="AL36" s="142"/>
      <c r="AM36" s="140"/>
      <c r="AN36" s="141"/>
      <c r="AO36" s="406" t="s">
        <v>663</v>
      </c>
    </row>
    <row r="37" spans="1:46" s="194" customFormat="1" ht="18.600000000000001" customHeight="1" x14ac:dyDescent="0.3">
      <c r="A37" s="208"/>
      <c r="B37" s="286"/>
      <c r="C37" s="138"/>
      <c r="D37" s="186" t="str">
        <f>D13</f>
        <v>TANIA ALEXA SALVADOR MARTINEZ</v>
      </c>
      <c r="E37" s="333"/>
      <c r="F37" s="302"/>
      <c r="G37" s="335"/>
      <c r="H37" s="142">
        <v>2687</v>
      </c>
      <c r="I37" s="140">
        <v>45919</v>
      </c>
      <c r="J37" s="141">
        <v>5073899</v>
      </c>
      <c r="K37" s="142">
        <v>2687</v>
      </c>
      <c r="L37" s="140">
        <v>45936</v>
      </c>
      <c r="M37" s="1140">
        <v>13183289</v>
      </c>
      <c r="N37" s="142">
        <v>2687</v>
      </c>
      <c r="O37" s="140">
        <v>45964</v>
      </c>
      <c r="P37" s="1140">
        <v>14822391</v>
      </c>
      <c r="Q37" s="142">
        <v>2687</v>
      </c>
      <c r="R37" s="140">
        <v>45993</v>
      </c>
      <c r="S37" s="1139">
        <v>26992059</v>
      </c>
      <c r="T37" s="142">
        <v>2687</v>
      </c>
      <c r="U37" s="140">
        <v>46037</v>
      </c>
      <c r="V37" s="1139">
        <v>93127018</v>
      </c>
      <c r="W37" s="333"/>
      <c r="X37" s="302"/>
      <c r="Y37" s="303"/>
      <c r="Z37" s="142">
        <v>2687</v>
      </c>
      <c r="AA37" s="140">
        <v>46055</v>
      </c>
      <c r="AB37" s="144" t="s">
        <v>500</v>
      </c>
      <c r="AC37" s="142">
        <v>2687</v>
      </c>
      <c r="AD37" s="140">
        <v>46055</v>
      </c>
      <c r="AE37" s="144" t="s">
        <v>500</v>
      </c>
      <c r="AF37" s="142">
        <v>2687</v>
      </c>
      <c r="AG37" s="140">
        <v>46086</v>
      </c>
      <c r="AH37" s="144">
        <v>465671</v>
      </c>
      <c r="AI37" s="142">
        <v>2687</v>
      </c>
      <c r="AJ37" s="140">
        <v>46086</v>
      </c>
      <c r="AK37" s="144">
        <v>465671</v>
      </c>
      <c r="AL37" s="142">
        <v>2687</v>
      </c>
      <c r="AM37" s="140">
        <v>46163</v>
      </c>
      <c r="AN37" s="141" t="s">
        <v>730</v>
      </c>
      <c r="AO37" s="194" t="s">
        <v>816</v>
      </c>
    </row>
    <row r="38" spans="1:46" s="196" customFormat="1" ht="18.600000000000001" customHeight="1" x14ac:dyDescent="0.3">
      <c r="A38" s="189"/>
      <c r="B38" s="991"/>
      <c r="C38" s="380"/>
      <c r="D38" s="186" t="str">
        <f>D14</f>
        <v>ANGEL MATEO VELAZQUEZ GARCIA</v>
      </c>
      <c r="E38" s="992">
        <v>2240</v>
      </c>
      <c r="F38" s="384">
        <v>45902</v>
      </c>
      <c r="G38" s="993" t="s">
        <v>426</v>
      </c>
      <c r="H38" s="992">
        <v>2240</v>
      </c>
      <c r="I38" s="384">
        <v>45902</v>
      </c>
      <c r="J38" s="146">
        <v>9685</v>
      </c>
      <c r="K38" s="992">
        <v>2240</v>
      </c>
      <c r="L38" s="384">
        <v>45932</v>
      </c>
      <c r="M38" s="146">
        <v>9685</v>
      </c>
      <c r="N38" s="992">
        <v>2240</v>
      </c>
      <c r="O38" s="384">
        <v>45966</v>
      </c>
      <c r="P38" s="146">
        <v>9685</v>
      </c>
      <c r="Q38" s="992">
        <v>2240</v>
      </c>
      <c r="R38" s="384">
        <v>45999</v>
      </c>
      <c r="S38" s="146">
        <v>9865</v>
      </c>
      <c r="T38" s="992">
        <v>2240</v>
      </c>
      <c r="U38" s="384">
        <v>46022</v>
      </c>
      <c r="V38" s="146">
        <v>9865</v>
      </c>
      <c r="W38" s="992">
        <v>2240</v>
      </c>
      <c r="X38" s="384">
        <v>45999</v>
      </c>
      <c r="Y38" s="146">
        <v>9865</v>
      </c>
      <c r="Z38" s="992">
        <v>2240</v>
      </c>
      <c r="AA38" s="384">
        <v>46058</v>
      </c>
      <c r="AB38" s="386">
        <v>9865</v>
      </c>
      <c r="AC38" s="992">
        <v>2240</v>
      </c>
      <c r="AD38" s="384">
        <v>46080</v>
      </c>
      <c r="AE38" s="386">
        <v>7410</v>
      </c>
      <c r="AF38" s="992">
        <v>2240</v>
      </c>
      <c r="AG38" s="384">
        <v>46110</v>
      </c>
      <c r="AH38" s="386">
        <v>7410</v>
      </c>
      <c r="AI38" s="992">
        <v>2240</v>
      </c>
      <c r="AJ38" s="384">
        <v>46146</v>
      </c>
      <c r="AK38" s="146" t="s">
        <v>72</v>
      </c>
      <c r="AL38" s="992">
        <v>2240</v>
      </c>
      <c r="AM38" s="384">
        <v>46181</v>
      </c>
      <c r="AN38" s="146" t="s">
        <v>793</v>
      </c>
      <c r="AO38" s="196" t="s">
        <v>816</v>
      </c>
    </row>
    <row r="39" spans="1:46" s="196" customFormat="1" ht="18.600000000000001" customHeight="1" x14ac:dyDescent="0.3">
      <c r="A39" s="189"/>
      <c r="B39" s="373"/>
      <c r="C39" s="380"/>
      <c r="D39" s="1128" t="str">
        <f t="shared" ref="D39:D44" si="1">D15</f>
        <v>GISSEL ADHARA LOPEZ CRUZ</v>
      </c>
      <c r="E39" s="992">
        <v>2239</v>
      </c>
      <c r="F39" s="384">
        <v>45897</v>
      </c>
      <c r="G39" s="146">
        <v>178267</v>
      </c>
      <c r="H39" s="992">
        <v>2239</v>
      </c>
      <c r="I39" s="384">
        <v>45897</v>
      </c>
      <c r="J39" s="146">
        <v>8.5901782674324E+16</v>
      </c>
      <c r="K39" s="992">
        <v>2239</v>
      </c>
      <c r="L39" s="384">
        <v>45939</v>
      </c>
      <c r="M39" s="146">
        <v>91025</v>
      </c>
      <c r="N39" s="992">
        <v>2239</v>
      </c>
      <c r="O39" s="384">
        <v>45966</v>
      </c>
      <c r="P39" s="146" t="s">
        <v>468</v>
      </c>
      <c r="Q39" s="992">
        <v>2239</v>
      </c>
      <c r="R39" s="384">
        <v>45997</v>
      </c>
      <c r="S39" s="146">
        <v>8.5900645964334E+16</v>
      </c>
      <c r="T39" s="992">
        <v>2239</v>
      </c>
      <c r="U39" s="384">
        <v>46361</v>
      </c>
      <c r="V39" s="386">
        <v>70126</v>
      </c>
      <c r="W39" s="992">
        <v>2239</v>
      </c>
      <c r="X39" s="384">
        <v>45997</v>
      </c>
      <c r="Y39" s="146">
        <v>8.5900645964334E+16</v>
      </c>
      <c r="Z39" s="992">
        <v>2239</v>
      </c>
      <c r="AA39" s="384">
        <v>46086</v>
      </c>
      <c r="AB39" s="386">
        <v>8.59061448743064E+16</v>
      </c>
      <c r="AC39" s="992">
        <v>2239</v>
      </c>
      <c r="AD39" s="384">
        <v>46086</v>
      </c>
      <c r="AE39" s="386">
        <v>8.59061448743064E+16</v>
      </c>
      <c r="AF39" s="992">
        <v>2239</v>
      </c>
      <c r="AG39" s="384">
        <v>46141</v>
      </c>
      <c r="AH39" s="386">
        <v>23084311900</v>
      </c>
      <c r="AI39" s="992">
        <v>2239</v>
      </c>
      <c r="AJ39" s="384">
        <v>46156</v>
      </c>
      <c r="AK39" s="146">
        <v>414313466</v>
      </c>
      <c r="AL39" s="992">
        <v>2239</v>
      </c>
      <c r="AM39" s="384">
        <v>46183</v>
      </c>
      <c r="AN39" s="146">
        <v>14316166</v>
      </c>
      <c r="AO39" s="196" t="s">
        <v>823</v>
      </c>
    </row>
    <row r="40" spans="1:46" s="194" customFormat="1" ht="18.600000000000001" customHeight="1" x14ac:dyDescent="0.3">
      <c r="A40" s="208"/>
      <c r="B40" s="286"/>
      <c r="C40" s="138"/>
      <c r="D40" s="186" t="str">
        <f t="shared" si="1"/>
        <v>MAXIMILIANO CISNEROS VILLEGAS</v>
      </c>
      <c r="E40" s="333"/>
      <c r="F40" s="302"/>
      <c r="G40" s="334"/>
      <c r="H40" s="142">
        <v>3071</v>
      </c>
      <c r="I40" s="140">
        <v>45904</v>
      </c>
      <c r="J40" s="141">
        <v>1129298</v>
      </c>
      <c r="K40" s="142">
        <v>3071</v>
      </c>
      <c r="L40" s="140">
        <v>45933</v>
      </c>
      <c r="M40" s="141">
        <v>6881210</v>
      </c>
      <c r="N40" s="142">
        <v>3071</v>
      </c>
      <c r="O40" s="140">
        <v>45991</v>
      </c>
      <c r="P40" s="141">
        <v>9170185</v>
      </c>
      <c r="Q40" s="142">
        <v>3071</v>
      </c>
      <c r="R40" s="140">
        <v>45991</v>
      </c>
      <c r="S40" s="141">
        <v>9170185</v>
      </c>
      <c r="T40" s="142">
        <v>3060</v>
      </c>
      <c r="U40" s="140">
        <v>46054</v>
      </c>
      <c r="V40" s="144">
        <v>5285350</v>
      </c>
      <c r="W40" s="333"/>
      <c r="X40" s="302"/>
      <c r="Y40" s="303"/>
      <c r="Z40" s="142">
        <v>3060</v>
      </c>
      <c r="AA40" s="140">
        <v>46054</v>
      </c>
      <c r="AB40" s="144">
        <v>5285350</v>
      </c>
      <c r="AC40" s="142">
        <v>3460</v>
      </c>
      <c r="AD40" s="140">
        <v>46112</v>
      </c>
      <c r="AE40" s="144">
        <v>8018260</v>
      </c>
      <c r="AF40" s="142">
        <v>3060</v>
      </c>
      <c r="AG40" s="140">
        <v>46112</v>
      </c>
      <c r="AH40" s="144">
        <v>8018260</v>
      </c>
      <c r="AI40" s="142">
        <v>3060</v>
      </c>
      <c r="AJ40" s="140">
        <v>46143</v>
      </c>
      <c r="AK40" s="141">
        <v>752181</v>
      </c>
      <c r="AL40" s="142">
        <v>3060</v>
      </c>
      <c r="AM40" s="140">
        <v>46174</v>
      </c>
      <c r="AN40" s="141">
        <v>9280885</v>
      </c>
      <c r="AO40" s="1310" t="s">
        <v>816</v>
      </c>
    </row>
    <row r="41" spans="1:46" s="194" customFormat="1" ht="18.600000000000001" customHeight="1" x14ac:dyDescent="0.3">
      <c r="A41" s="208"/>
      <c r="B41" s="1405" t="s">
        <v>418</v>
      </c>
      <c r="C41" s="1406"/>
      <c r="D41" s="186" t="str">
        <f t="shared" si="1"/>
        <v xml:space="preserve">ANGEL MATHIAS CARRASCO RAMIREZ </v>
      </c>
      <c r="E41" s="333"/>
      <c r="F41" s="302"/>
      <c r="G41" s="334"/>
      <c r="H41" s="142">
        <v>2239</v>
      </c>
      <c r="I41" s="140">
        <v>45903</v>
      </c>
      <c r="J41" s="141">
        <v>250903</v>
      </c>
      <c r="K41" s="142">
        <v>2239</v>
      </c>
      <c r="L41" s="140">
        <v>45932</v>
      </c>
      <c r="M41" s="141">
        <v>251001</v>
      </c>
      <c r="N41" s="142">
        <v>2239</v>
      </c>
      <c r="O41" s="140">
        <v>45966</v>
      </c>
      <c r="P41" s="141">
        <v>4525</v>
      </c>
      <c r="Q41" s="142">
        <v>2239</v>
      </c>
      <c r="R41" s="140">
        <v>45992</v>
      </c>
      <c r="S41" s="141">
        <v>251201</v>
      </c>
      <c r="T41" s="142">
        <v>2239</v>
      </c>
      <c r="U41" s="140">
        <v>46027</v>
      </c>
      <c r="V41" s="144">
        <v>6715</v>
      </c>
      <c r="W41" s="142">
        <v>2239</v>
      </c>
      <c r="X41" s="140">
        <v>45992</v>
      </c>
      <c r="Y41" s="141">
        <v>251201</v>
      </c>
      <c r="Z41" s="142">
        <v>2239</v>
      </c>
      <c r="AA41" s="140">
        <v>46054</v>
      </c>
      <c r="AB41" s="144">
        <v>322660</v>
      </c>
      <c r="AC41" s="391">
        <v>2239</v>
      </c>
      <c r="AD41" s="392">
        <v>46087</v>
      </c>
      <c r="AE41" s="393">
        <v>260306</v>
      </c>
      <c r="AF41" s="391">
        <v>2239</v>
      </c>
      <c r="AG41" s="392">
        <v>46119</v>
      </c>
      <c r="AH41" s="393" t="s">
        <v>509</v>
      </c>
      <c r="AI41" s="391">
        <v>2239</v>
      </c>
      <c r="AJ41" s="392">
        <v>46148</v>
      </c>
      <c r="AK41" s="141">
        <v>128154</v>
      </c>
      <c r="AL41" s="142">
        <v>2239</v>
      </c>
      <c r="AM41" s="140">
        <v>46209</v>
      </c>
      <c r="AN41" s="141">
        <v>269430</v>
      </c>
      <c r="AO41" s="194" t="s">
        <v>816</v>
      </c>
    </row>
    <row r="42" spans="1:46" s="194" customFormat="1" ht="18.600000000000001" customHeight="1" x14ac:dyDescent="0.3">
      <c r="A42" s="208"/>
      <c r="B42" s="286"/>
      <c r="C42" s="138"/>
      <c r="D42" s="186" t="str">
        <f t="shared" si="1"/>
        <v xml:space="preserve">YESHUA FERNANDO VALENCIA OCAMPO </v>
      </c>
      <c r="E42" s="333"/>
      <c r="F42" s="302"/>
      <c r="G42" s="334"/>
      <c r="H42" s="142">
        <v>2686</v>
      </c>
      <c r="I42" s="140">
        <v>45905</v>
      </c>
      <c r="J42" s="141">
        <v>4548</v>
      </c>
      <c r="K42" s="142">
        <v>2686</v>
      </c>
      <c r="L42" s="140">
        <v>45933</v>
      </c>
      <c r="M42" s="141">
        <v>3935</v>
      </c>
      <c r="N42" s="142">
        <v>2686</v>
      </c>
      <c r="O42" s="140">
        <v>45966</v>
      </c>
      <c r="P42" s="141">
        <v>2911</v>
      </c>
      <c r="Q42" s="142">
        <v>2686</v>
      </c>
      <c r="R42" s="140">
        <v>45997</v>
      </c>
      <c r="S42" s="141">
        <v>7701</v>
      </c>
      <c r="T42" s="142">
        <v>2686</v>
      </c>
      <c r="U42" s="140">
        <v>46027</v>
      </c>
      <c r="V42" s="144" t="s">
        <v>487</v>
      </c>
      <c r="W42" s="333"/>
      <c r="X42" s="302"/>
      <c r="Y42" s="303"/>
      <c r="Z42" s="142">
        <v>2786</v>
      </c>
      <c r="AA42" s="140">
        <v>46058</v>
      </c>
      <c r="AB42" s="144">
        <v>9519</v>
      </c>
      <c r="AC42" s="142">
        <v>2786</v>
      </c>
      <c r="AD42" s="140">
        <v>46086</v>
      </c>
      <c r="AE42" s="144">
        <v>1169</v>
      </c>
      <c r="AF42" s="142">
        <v>2786</v>
      </c>
      <c r="AG42" s="140">
        <v>46117</v>
      </c>
      <c r="AH42" s="144">
        <v>1478</v>
      </c>
      <c r="AI42" s="142">
        <v>2786</v>
      </c>
      <c r="AJ42" s="140">
        <v>46146</v>
      </c>
      <c r="AK42" s="141" t="s">
        <v>520</v>
      </c>
      <c r="AL42" s="142">
        <v>2786</v>
      </c>
      <c r="AM42" s="140" t="s">
        <v>778</v>
      </c>
      <c r="AN42" s="141" t="s">
        <v>779</v>
      </c>
      <c r="AO42" s="194" t="s">
        <v>816</v>
      </c>
    </row>
    <row r="43" spans="1:46" s="194" customFormat="1" ht="18.600000000000001" customHeight="1" x14ac:dyDescent="0.3">
      <c r="A43" s="208"/>
      <c r="B43" s="286"/>
      <c r="C43" s="138"/>
      <c r="D43" s="186" t="str">
        <f t="shared" si="1"/>
        <v xml:space="preserve">DANIELA MICHELLE ULIN GARCIA </v>
      </c>
      <c r="E43" s="333"/>
      <c r="F43" s="302"/>
      <c r="G43" s="303"/>
      <c r="H43" s="142">
        <v>3147</v>
      </c>
      <c r="I43" s="140">
        <v>46364</v>
      </c>
      <c r="J43" s="141">
        <v>8.5907215830334208E+16</v>
      </c>
      <c r="K43" s="142">
        <v>3147</v>
      </c>
      <c r="L43" s="140">
        <v>45999</v>
      </c>
      <c r="M43" s="141">
        <v>8.5907215830334208E+16</v>
      </c>
      <c r="N43" s="142">
        <v>2853</v>
      </c>
      <c r="O43" s="140">
        <v>45999</v>
      </c>
      <c r="P43" s="141">
        <v>8.5907215830334208E+16</v>
      </c>
      <c r="Q43" s="142">
        <v>2853</v>
      </c>
      <c r="R43" s="140">
        <v>46093</v>
      </c>
      <c r="S43" s="141">
        <v>8.5903013890307104E+16</v>
      </c>
      <c r="T43" s="142">
        <v>2853</v>
      </c>
      <c r="U43" s="140">
        <v>46093</v>
      </c>
      <c r="V43" s="144">
        <v>8.5903013890307104E+16</v>
      </c>
      <c r="W43" s="333"/>
      <c r="X43" s="302"/>
      <c r="Y43" s="335"/>
      <c r="Z43" s="142">
        <v>2853</v>
      </c>
      <c r="AA43" s="1311">
        <v>46190</v>
      </c>
      <c r="AB43" s="196">
        <v>330316861</v>
      </c>
      <c r="AC43" s="992">
        <v>2853</v>
      </c>
      <c r="AD43" s="1311">
        <v>46190</v>
      </c>
      <c r="AE43" s="196">
        <v>330316861</v>
      </c>
      <c r="AF43" s="142">
        <v>2853</v>
      </c>
      <c r="AG43" s="140">
        <v>46198</v>
      </c>
      <c r="AH43" s="144">
        <v>760317665</v>
      </c>
      <c r="AI43" s="142">
        <v>2853</v>
      </c>
      <c r="AJ43" s="140">
        <v>46198</v>
      </c>
      <c r="AK43" s="141">
        <v>760317665</v>
      </c>
      <c r="AL43" s="142">
        <v>2853</v>
      </c>
      <c r="AM43" s="140">
        <v>46198</v>
      </c>
      <c r="AN43" s="141">
        <v>760317665</v>
      </c>
      <c r="AO43" s="1321" t="s">
        <v>816</v>
      </c>
      <c r="AP43" s="1132"/>
      <c r="AQ43" s="1133"/>
    </row>
    <row r="44" spans="1:46" s="194" customFormat="1" ht="18.600000000000001" customHeight="1" x14ac:dyDescent="0.3">
      <c r="A44" s="208"/>
      <c r="B44" s="286"/>
      <c r="C44" s="138"/>
      <c r="D44" s="186" t="str">
        <f t="shared" si="1"/>
        <v>VALENTINA GARCIA RUIZ</v>
      </c>
      <c r="E44" s="333"/>
      <c r="F44" s="302"/>
      <c r="G44" s="334"/>
      <c r="H44" s="142">
        <v>2687</v>
      </c>
      <c r="I44" s="140">
        <v>45905</v>
      </c>
      <c r="J44" s="141" t="s">
        <v>72</v>
      </c>
      <c r="K44" s="142">
        <v>2687</v>
      </c>
      <c r="L44" s="140">
        <v>45935</v>
      </c>
      <c r="M44" s="141" t="s">
        <v>458</v>
      </c>
      <c r="N44" s="142">
        <v>2687</v>
      </c>
      <c r="O44" s="140">
        <v>45966</v>
      </c>
      <c r="P44" s="141">
        <v>37240654</v>
      </c>
      <c r="Q44" s="142">
        <v>2687</v>
      </c>
      <c r="R44" s="140">
        <v>45993</v>
      </c>
      <c r="S44" s="141">
        <v>25782987</v>
      </c>
      <c r="T44" s="142">
        <v>2687</v>
      </c>
      <c r="U44" s="140">
        <v>46024</v>
      </c>
      <c r="V44" s="144">
        <v>36804787</v>
      </c>
      <c r="W44" s="333"/>
      <c r="X44" s="302"/>
      <c r="Y44" s="303"/>
      <c r="Z44" s="142">
        <v>2687</v>
      </c>
      <c r="AA44" s="140">
        <v>46058</v>
      </c>
      <c r="AB44" s="144" t="s">
        <v>439</v>
      </c>
      <c r="AC44" s="142">
        <v>2687</v>
      </c>
      <c r="AD44" s="140">
        <v>46083</v>
      </c>
      <c r="AE44" s="144">
        <v>3915390</v>
      </c>
      <c r="AF44" s="142">
        <v>2687</v>
      </c>
      <c r="AG44" s="140">
        <v>46108</v>
      </c>
      <c r="AH44" s="144">
        <v>88341480</v>
      </c>
      <c r="AI44" s="142">
        <v>2687</v>
      </c>
      <c r="AJ44" s="140">
        <v>46139</v>
      </c>
      <c r="AK44" s="141">
        <v>84625200</v>
      </c>
      <c r="AL44" s="52">
        <v>2687</v>
      </c>
      <c r="AM44" s="53">
        <v>46168</v>
      </c>
      <c r="AN44" s="54">
        <v>49090922</v>
      </c>
      <c r="AO44" s="194" t="s">
        <v>816</v>
      </c>
    </row>
    <row r="45" spans="1:46" s="194" customFormat="1" ht="18.600000000000001" customHeight="1" x14ac:dyDescent="0.3">
      <c r="A45" s="208"/>
      <c r="B45" s="286"/>
      <c r="C45" s="138"/>
      <c r="D45" s="186" t="str">
        <f t="shared" ref="D45:D47" si="2">D21</f>
        <v>BETZABE PEREZ REYES</v>
      </c>
      <c r="E45" s="333"/>
      <c r="F45" s="302"/>
      <c r="G45" s="334"/>
      <c r="H45" s="142">
        <v>2687</v>
      </c>
      <c r="I45" s="140">
        <v>45919</v>
      </c>
      <c r="J45" s="144">
        <v>9224609</v>
      </c>
      <c r="K45" s="142">
        <v>2687</v>
      </c>
      <c r="L45" s="140">
        <v>45951</v>
      </c>
      <c r="M45" s="141">
        <v>590065667</v>
      </c>
      <c r="N45" s="142">
        <v>2687</v>
      </c>
      <c r="O45" s="140">
        <v>45966</v>
      </c>
      <c r="P45" s="141">
        <v>4877003</v>
      </c>
      <c r="Q45" s="142">
        <v>2687</v>
      </c>
      <c r="R45" s="140">
        <v>46010</v>
      </c>
      <c r="S45" s="144">
        <v>78056577</v>
      </c>
      <c r="T45" s="142">
        <v>2687</v>
      </c>
      <c r="U45" s="140">
        <v>46023</v>
      </c>
      <c r="V45" s="144">
        <v>57896412</v>
      </c>
      <c r="W45" s="333"/>
      <c r="X45" s="302"/>
      <c r="Y45" s="303"/>
      <c r="Z45" s="142">
        <v>2687</v>
      </c>
      <c r="AA45" s="140">
        <v>46058</v>
      </c>
      <c r="AB45" s="330">
        <v>16066028</v>
      </c>
      <c r="AC45" s="142">
        <v>2687</v>
      </c>
      <c r="AD45" s="140">
        <v>46084</v>
      </c>
      <c r="AE45" s="144">
        <v>82784126</v>
      </c>
      <c r="AF45" s="142">
        <v>2687</v>
      </c>
      <c r="AG45" s="140">
        <v>46136</v>
      </c>
      <c r="AH45" s="144">
        <v>75067131</v>
      </c>
      <c r="AI45" s="142">
        <v>2687</v>
      </c>
      <c r="AJ45" s="140">
        <v>46146</v>
      </c>
      <c r="AK45" s="141">
        <v>751876</v>
      </c>
      <c r="AL45" s="142">
        <v>2687</v>
      </c>
      <c r="AM45" s="140">
        <v>46183</v>
      </c>
      <c r="AN45" s="141">
        <v>71456732</v>
      </c>
      <c r="AO45" s="194" t="s">
        <v>816</v>
      </c>
    </row>
    <row r="46" spans="1:46" s="194" customFormat="1" ht="18.600000000000001" customHeight="1" x14ac:dyDescent="0.3">
      <c r="A46" s="208"/>
      <c r="B46" s="326"/>
      <c r="C46" s="327"/>
      <c r="D46" s="186" t="str">
        <f t="shared" si="2"/>
        <v xml:space="preserve">GUILLERMO MIKAEL CHAVEZ </v>
      </c>
      <c r="E46" s="342"/>
      <c r="F46" s="343"/>
      <c r="G46" s="344"/>
      <c r="H46" s="328">
        <v>3347</v>
      </c>
      <c r="I46" s="329">
        <v>45916</v>
      </c>
      <c r="J46" s="330" t="s">
        <v>72</v>
      </c>
      <c r="K46" s="328">
        <v>3347</v>
      </c>
      <c r="L46" s="329">
        <v>45936</v>
      </c>
      <c r="M46" s="331" t="s">
        <v>72</v>
      </c>
      <c r="N46" s="328">
        <v>3347</v>
      </c>
      <c r="O46" s="329">
        <v>45967</v>
      </c>
      <c r="P46" s="331">
        <v>6353437</v>
      </c>
      <c r="Q46" s="328">
        <v>3347</v>
      </c>
      <c r="R46" s="329">
        <v>45998</v>
      </c>
      <c r="S46" s="330">
        <v>6353427</v>
      </c>
      <c r="T46" s="328">
        <v>3347</v>
      </c>
      <c r="U46" s="329">
        <v>46084</v>
      </c>
      <c r="V46" s="330">
        <v>54271</v>
      </c>
      <c r="W46" s="342"/>
      <c r="X46" s="343"/>
      <c r="Y46" s="366"/>
      <c r="Z46" s="328">
        <v>3347</v>
      </c>
      <c r="AA46" s="140">
        <v>46110</v>
      </c>
      <c r="AB46" s="330">
        <v>4930741</v>
      </c>
      <c r="AC46" s="328">
        <v>3347</v>
      </c>
      <c r="AD46" s="329">
        <v>46139</v>
      </c>
      <c r="AE46" s="330">
        <v>1468434</v>
      </c>
      <c r="AF46" s="328">
        <v>3347</v>
      </c>
      <c r="AG46" s="329">
        <v>46181</v>
      </c>
      <c r="AH46" s="330">
        <v>5863905</v>
      </c>
      <c r="AI46" s="328">
        <v>3347</v>
      </c>
      <c r="AJ46" s="329">
        <v>46181</v>
      </c>
      <c r="AK46" s="331">
        <v>1505897</v>
      </c>
      <c r="AL46" s="328">
        <v>3647</v>
      </c>
      <c r="AM46" s="329">
        <v>46191</v>
      </c>
      <c r="AN46" s="331">
        <v>4019405</v>
      </c>
      <c r="AO46" s="406" t="s">
        <v>829</v>
      </c>
      <c r="AT46" s="194" t="s">
        <v>841</v>
      </c>
    </row>
    <row r="47" spans="1:46" s="194" customFormat="1" ht="18.600000000000001" customHeight="1" x14ac:dyDescent="0.3">
      <c r="A47" s="208"/>
      <c r="B47" s="326"/>
      <c r="C47" s="327"/>
      <c r="D47" s="186" t="str">
        <f t="shared" si="2"/>
        <v>ARANTXA ROSAS SANCHEZ</v>
      </c>
      <c r="E47" s="328">
        <v>2687</v>
      </c>
      <c r="F47" s="329">
        <v>45900</v>
      </c>
      <c r="G47" s="330" t="s">
        <v>72</v>
      </c>
      <c r="H47" s="328">
        <v>2239</v>
      </c>
      <c r="I47" s="329">
        <v>45905</v>
      </c>
      <c r="J47" s="330">
        <v>65843897</v>
      </c>
      <c r="K47" s="328">
        <v>2239</v>
      </c>
      <c r="L47" s="329">
        <v>45935</v>
      </c>
      <c r="M47" s="331" t="s">
        <v>452</v>
      </c>
      <c r="N47" s="328">
        <v>2239</v>
      </c>
      <c r="O47" s="329">
        <v>45966</v>
      </c>
      <c r="P47" s="331">
        <v>974643</v>
      </c>
      <c r="Q47" s="328">
        <v>2239</v>
      </c>
      <c r="R47" s="329">
        <v>45995</v>
      </c>
      <c r="S47" s="330" t="s">
        <v>479</v>
      </c>
      <c r="T47" s="328">
        <v>2239</v>
      </c>
      <c r="U47" s="329">
        <v>46058</v>
      </c>
      <c r="V47" s="330" t="s">
        <v>501</v>
      </c>
      <c r="W47" s="328"/>
      <c r="X47" s="329"/>
      <c r="Y47" s="331"/>
      <c r="Z47" s="328">
        <v>2239</v>
      </c>
      <c r="AA47" s="140">
        <v>46058</v>
      </c>
      <c r="AB47" s="330" t="s">
        <v>501</v>
      </c>
      <c r="AC47" s="328">
        <v>2639</v>
      </c>
      <c r="AD47" s="329">
        <v>46094</v>
      </c>
      <c r="AE47" s="330">
        <v>172267</v>
      </c>
      <c r="AF47" s="328">
        <v>2639</v>
      </c>
      <c r="AG47" s="329">
        <v>46129</v>
      </c>
      <c r="AH47" s="330">
        <v>573084</v>
      </c>
      <c r="AI47" s="328">
        <v>2239</v>
      </c>
      <c r="AJ47" s="329">
        <v>46160</v>
      </c>
      <c r="AK47" s="331" t="s">
        <v>656</v>
      </c>
      <c r="AL47" s="328">
        <v>2239</v>
      </c>
      <c r="AM47" s="329">
        <v>46188</v>
      </c>
      <c r="AN47" s="331" t="s">
        <v>813</v>
      </c>
      <c r="AO47" s="194" t="s">
        <v>823</v>
      </c>
    </row>
    <row r="48" spans="1:46" s="194" customFormat="1" ht="18.600000000000001" customHeight="1" x14ac:dyDescent="0.3">
      <c r="A48" s="208"/>
      <c r="B48" s="326"/>
      <c r="C48" s="327"/>
      <c r="D48" s="186"/>
      <c r="E48" s="328"/>
      <c r="F48" s="329"/>
      <c r="G48" s="330"/>
      <c r="H48" s="328">
        <v>30880</v>
      </c>
      <c r="I48" s="329"/>
      <c r="J48" s="330"/>
      <c r="K48" s="328"/>
      <c r="L48" s="329"/>
      <c r="M48" s="331"/>
      <c r="N48" s="328"/>
      <c r="O48" s="329"/>
      <c r="P48" s="331"/>
      <c r="Q48" s="328"/>
      <c r="R48" s="329"/>
      <c r="S48" s="330"/>
      <c r="T48" s="328"/>
      <c r="U48" s="329"/>
      <c r="V48" s="330"/>
      <c r="W48" s="328"/>
      <c r="X48" s="329"/>
      <c r="Y48" s="331"/>
      <c r="Z48" s="328"/>
      <c r="AA48" s="329"/>
      <c r="AB48" s="330"/>
      <c r="AC48" s="328"/>
      <c r="AD48" s="329"/>
      <c r="AE48" s="330"/>
      <c r="AF48" s="328"/>
      <c r="AG48" s="329"/>
      <c r="AH48" s="330"/>
      <c r="AI48" s="328"/>
      <c r="AJ48" s="329"/>
      <c r="AK48" s="331"/>
      <c r="AL48" s="328"/>
      <c r="AM48" s="329"/>
      <c r="AN48" s="331"/>
    </row>
    <row r="49" spans="1:40" s="194" customFormat="1" ht="18.600000000000001" customHeight="1" x14ac:dyDescent="0.3">
      <c r="A49" s="208"/>
      <c r="B49" s="326"/>
      <c r="C49" s="327"/>
      <c r="D49" s="186"/>
      <c r="E49" s="328"/>
      <c r="F49" s="329"/>
      <c r="G49" s="330"/>
      <c r="H49" s="328">
        <v>38941</v>
      </c>
      <c r="I49" s="329"/>
      <c r="J49" s="330"/>
      <c r="K49" s="328"/>
      <c r="L49" s="329"/>
      <c r="M49" s="331"/>
      <c r="N49" s="328"/>
      <c r="O49" s="329"/>
      <c r="P49" s="331"/>
      <c r="Q49" s="328"/>
      <c r="R49" s="329"/>
      <c r="S49" s="330"/>
      <c r="T49" s="328"/>
      <c r="U49" s="329"/>
      <c r="V49" s="330"/>
      <c r="W49" s="328"/>
      <c r="X49" s="329"/>
      <c r="Y49" s="331"/>
      <c r="Z49" s="328"/>
      <c r="AA49" s="329"/>
      <c r="AB49" s="330"/>
      <c r="AC49" s="328"/>
      <c r="AD49" s="329"/>
      <c r="AE49" s="330"/>
      <c r="AF49" s="328"/>
      <c r="AG49" s="329"/>
      <c r="AH49" s="330"/>
      <c r="AI49" s="328"/>
      <c r="AJ49" s="329"/>
      <c r="AK49" s="331"/>
      <c r="AL49" s="328"/>
      <c r="AM49" s="329"/>
      <c r="AN49" s="331"/>
    </row>
    <row r="50" spans="1:40" s="194" customFormat="1" ht="18.600000000000001" customHeight="1" x14ac:dyDescent="0.3">
      <c r="A50" s="208"/>
      <c r="B50" s="326"/>
      <c r="C50" s="327"/>
      <c r="D50" s="186"/>
      <c r="E50" s="328"/>
      <c r="F50" s="329"/>
      <c r="G50" s="330"/>
      <c r="H50" s="328"/>
      <c r="I50" s="329"/>
      <c r="J50" s="330"/>
      <c r="K50" s="328"/>
      <c r="L50" s="329"/>
      <c r="M50" s="331"/>
      <c r="N50" s="328"/>
      <c r="O50" s="329"/>
      <c r="P50" s="331"/>
      <c r="Q50" s="328"/>
      <c r="R50" s="329"/>
      <c r="S50" s="330"/>
      <c r="T50" s="328"/>
      <c r="U50" s="329"/>
      <c r="V50" s="330"/>
      <c r="W50" s="328"/>
      <c r="X50" s="329"/>
      <c r="Y50" s="331"/>
      <c r="Z50" s="328"/>
      <c r="AA50" s="329"/>
      <c r="AB50" s="330"/>
      <c r="AC50" s="328"/>
      <c r="AD50" s="329"/>
      <c r="AE50" s="330"/>
      <c r="AF50" s="328"/>
      <c r="AG50" s="329"/>
      <c r="AH50" s="330"/>
      <c r="AI50" s="328"/>
      <c r="AJ50" s="329"/>
      <c r="AK50" s="331"/>
      <c r="AL50" s="328"/>
      <c r="AM50" s="329"/>
      <c r="AN50" s="331"/>
    </row>
    <row r="51" spans="1:40" s="194" customFormat="1" ht="18.600000000000001" customHeight="1" x14ac:dyDescent="0.3">
      <c r="A51" s="208"/>
      <c r="B51" s="326"/>
      <c r="C51" s="327"/>
      <c r="D51" s="186"/>
      <c r="E51" s="328"/>
      <c r="F51" s="329"/>
      <c r="G51" s="330"/>
      <c r="H51" s="328"/>
      <c r="I51" s="329"/>
      <c r="J51" s="330"/>
      <c r="K51" s="328"/>
      <c r="L51" s="329"/>
      <c r="M51" s="331"/>
      <c r="N51" s="328"/>
      <c r="O51" s="329"/>
      <c r="P51" s="331"/>
      <c r="Q51" s="328"/>
      <c r="R51" s="329"/>
      <c r="S51" s="330"/>
      <c r="T51" s="328"/>
      <c r="U51" s="329"/>
      <c r="V51" s="330"/>
      <c r="W51" s="328"/>
      <c r="X51" s="329"/>
      <c r="Y51" s="331"/>
      <c r="Z51" s="328"/>
      <c r="AA51" s="329"/>
      <c r="AB51" s="330"/>
      <c r="AC51" s="328"/>
      <c r="AD51" s="329"/>
      <c r="AE51" s="330"/>
      <c r="AF51" s="328"/>
      <c r="AG51" s="329"/>
      <c r="AH51" s="330"/>
      <c r="AI51" s="328"/>
      <c r="AJ51" s="329"/>
      <c r="AK51" s="331"/>
      <c r="AL51" s="328"/>
      <c r="AM51" s="329"/>
      <c r="AN51" s="331"/>
    </row>
    <row r="52" spans="1:40" s="194" customFormat="1" ht="18.600000000000001" customHeight="1" thickBot="1" x14ac:dyDescent="0.35">
      <c r="A52" s="208"/>
      <c r="B52" s="289"/>
      <c r="C52" s="147"/>
      <c r="D52" s="148"/>
      <c r="E52" s="149"/>
      <c r="F52" s="150"/>
      <c r="G52" s="151"/>
      <c r="H52" s="149"/>
      <c r="I52" s="150"/>
      <c r="J52" s="152"/>
      <c r="K52" s="149"/>
      <c r="L52" s="150"/>
      <c r="M52" s="152"/>
      <c r="N52" s="149"/>
      <c r="O52" s="150"/>
      <c r="P52" s="152"/>
      <c r="Q52" s="149"/>
      <c r="R52" s="150"/>
      <c r="S52" s="151"/>
      <c r="T52" s="149"/>
      <c r="U52" s="150"/>
      <c r="V52" s="152"/>
      <c r="W52" s="149"/>
      <c r="X52" s="150"/>
      <c r="Y52" s="152"/>
      <c r="Z52" s="149"/>
      <c r="AA52" s="150"/>
      <c r="AB52" s="151"/>
      <c r="AC52" s="149"/>
      <c r="AD52" s="150"/>
      <c r="AE52" s="151"/>
      <c r="AF52" s="149"/>
      <c r="AG52" s="150"/>
      <c r="AH52" s="151"/>
      <c r="AI52" s="149"/>
      <c r="AJ52" s="150"/>
      <c r="AK52" s="152"/>
      <c r="AL52" s="149"/>
      <c r="AM52" s="150"/>
      <c r="AN52" s="152"/>
    </row>
  </sheetData>
  <mergeCells count="22">
    <mergeCell ref="F4:Q4"/>
    <mergeCell ref="S4:U4"/>
    <mergeCell ref="F1:Q1"/>
    <mergeCell ref="S1:U1"/>
    <mergeCell ref="F2:Q2"/>
    <mergeCell ref="S2:U2"/>
    <mergeCell ref="F3:Q3"/>
    <mergeCell ref="S3:U3"/>
    <mergeCell ref="B41:C41"/>
    <mergeCell ref="B30:AN30"/>
    <mergeCell ref="E31:G31"/>
    <mergeCell ref="H31:J31"/>
    <mergeCell ref="K31:M31"/>
    <mergeCell ref="N31:P31"/>
    <mergeCell ref="Q31:S31"/>
    <mergeCell ref="T31:V31"/>
    <mergeCell ref="W31:Y31"/>
    <mergeCell ref="Z31:AB31"/>
    <mergeCell ref="AC31:AE31"/>
    <mergeCell ref="AF31:AH31"/>
    <mergeCell ref="AI31:AK31"/>
    <mergeCell ref="AL31:AN31"/>
  </mergeCells>
  <conditionalFormatting sqref="F16:H16">
    <cfRule type="notContainsBlanks" dxfId="18" priority="4">
      <formula>LEN(TRIM(F16))&gt;0</formula>
    </cfRule>
  </conditionalFormatting>
  <conditionalFormatting sqref="F8:T15 I16:T16 F17:T17 F18 H18:T18 F19:T25">
    <cfRule type="notContainsBlanks" dxfId="17" priority="5">
      <formula>LEN(TRIM(F8))&gt;0</formula>
    </cfRule>
  </conditionalFormatting>
  <conditionalFormatting sqref="G18">
    <cfRule type="notContainsBlanks" dxfId="16" priority="3">
      <formula>LEN(TRIM(G18))&gt;0</formula>
    </cfRule>
  </conditionalFormatting>
  <conditionalFormatting sqref="AL44:AN44">
    <cfRule type="notContainsBlanks" dxfId="15" priority="1">
      <formula>LEN(TRIM(AL44))&gt;0</formula>
    </cfRule>
  </conditionalFormatting>
  <conditionalFormatting sqref="AM35:AN35">
    <cfRule type="notContainsBlanks" dxfId="14" priority="2">
      <formula>LEN(TRIM(AM35))&gt;0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61"/>
  <sheetViews>
    <sheetView zoomScale="110" zoomScaleNormal="110" workbookViewId="0">
      <pane xSplit="4" ySplit="1" topLeftCell="E9" activePane="bottomRight" state="frozen"/>
      <selection pane="topRight" activeCell="E1" sqref="E1"/>
      <selection pane="bottomLeft" activeCell="A2" sqref="A2"/>
      <selection pane="bottomRight" activeCell="D9" sqref="D9"/>
    </sheetView>
  </sheetViews>
  <sheetFormatPr baseColWidth="10" defaultColWidth="9.33203125" defaultRowHeight="12" x14ac:dyDescent="0.25"/>
  <cols>
    <col min="1" max="1" width="11.88671875" style="439" bestFit="1" customWidth="1"/>
    <col min="2" max="2" width="7.77734375" style="439" customWidth="1"/>
    <col min="3" max="3" width="15.77734375" style="439" bestFit="1" customWidth="1"/>
    <col min="4" max="4" width="32.77734375" style="439" bestFit="1" customWidth="1"/>
    <col min="5" max="5" width="16.109375" style="439" customWidth="1"/>
    <col min="6" max="7" width="17.21875" style="439" customWidth="1"/>
    <col min="8" max="8" width="11.77734375" style="439" customWidth="1"/>
    <col min="9" max="9" width="15.44140625" style="439" customWidth="1"/>
    <col min="10" max="10" width="9.77734375" style="439" customWidth="1"/>
    <col min="11" max="11" width="15" style="439" customWidth="1"/>
    <col min="12" max="12" width="15.33203125" style="439" customWidth="1"/>
    <col min="13" max="13" width="20.6640625" style="439" customWidth="1"/>
    <col min="14" max="14" width="18.33203125" style="439" customWidth="1"/>
    <col min="15" max="15" width="11.77734375" style="439" customWidth="1"/>
    <col min="16" max="16" width="18.109375" style="439" customWidth="1"/>
    <col min="17" max="17" width="18.21875" style="439" customWidth="1"/>
    <col min="18" max="18" width="15" style="439" customWidth="1"/>
    <col min="19" max="19" width="20.109375" style="439" customWidth="1"/>
    <col min="20" max="20" width="13.44140625" style="439" customWidth="1"/>
    <col min="21" max="21" width="14.77734375" style="439" customWidth="1"/>
    <col min="22" max="22" width="20.6640625" style="439" customWidth="1"/>
    <col min="23" max="23" width="12.44140625" style="439" customWidth="1"/>
    <col min="24" max="24" width="12.33203125" style="439" customWidth="1"/>
    <col min="25" max="25" width="11.21875" style="439" customWidth="1"/>
    <col min="26" max="26" width="10.44140625" style="439" bestFit="1" customWidth="1"/>
    <col min="27" max="27" width="10.109375" style="439" bestFit="1" customWidth="1"/>
    <col min="28" max="28" width="20.6640625" style="439" bestFit="1" customWidth="1"/>
    <col min="29" max="29" width="10.44140625" style="439" bestFit="1" customWidth="1"/>
    <col min="30" max="30" width="10.109375" style="439" bestFit="1" customWidth="1"/>
    <col min="31" max="31" width="21.21875" style="439" customWidth="1"/>
    <col min="32" max="32" width="10.44140625" style="439" bestFit="1" customWidth="1"/>
    <col min="33" max="33" width="10.109375" style="439" bestFit="1" customWidth="1"/>
    <col min="34" max="34" width="20.6640625" style="439" bestFit="1" customWidth="1"/>
    <col min="35" max="35" width="10.44140625" style="439" bestFit="1" customWidth="1"/>
    <col min="36" max="36" width="10.109375" style="439" bestFit="1" customWidth="1"/>
    <col min="37" max="37" width="19.77734375" style="885" customWidth="1"/>
    <col min="38" max="38" width="10.44140625" style="439" bestFit="1" customWidth="1"/>
    <col min="39" max="39" width="13.5546875" style="439" customWidth="1"/>
    <col min="40" max="40" width="14.33203125" style="439" customWidth="1"/>
    <col min="41" max="16384" width="9.33203125" style="439"/>
  </cols>
  <sheetData>
    <row r="1" spans="1:37" ht="12.6" thickBot="1" x14ac:dyDescent="0.3">
      <c r="E1" s="440"/>
      <c r="F1" s="1403" t="s">
        <v>0</v>
      </c>
      <c r="G1" s="1403"/>
      <c r="H1" s="1403"/>
      <c r="I1" s="1403"/>
      <c r="J1" s="1403"/>
      <c r="K1" s="1403"/>
      <c r="L1" s="1403"/>
      <c r="M1" s="1403"/>
      <c r="N1" s="1403"/>
      <c r="O1" s="1403"/>
      <c r="P1" s="1403"/>
      <c r="Q1" s="1403"/>
      <c r="R1" s="441"/>
      <c r="S1" s="1393" t="s">
        <v>1</v>
      </c>
      <c r="T1" s="1393"/>
      <c r="U1" s="1394"/>
    </row>
    <row r="2" spans="1:37" ht="12.6" thickBot="1" x14ac:dyDescent="0.3">
      <c r="E2" s="442"/>
      <c r="F2" s="1404" t="s">
        <v>2</v>
      </c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443"/>
      <c r="S2" s="1393" t="s">
        <v>3</v>
      </c>
      <c r="T2" s="1393"/>
      <c r="U2" s="1394"/>
    </row>
    <row r="3" spans="1:37" ht="12.6" thickBot="1" x14ac:dyDescent="0.3">
      <c r="E3" s="444"/>
      <c r="F3" s="1392" t="s">
        <v>4</v>
      </c>
      <c r="G3" s="1392"/>
      <c r="H3" s="1392"/>
      <c r="I3" s="1392"/>
      <c r="J3" s="1392"/>
      <c r="K3" s="1392"/>
      <c r="L3" s="1392"/>
      <c r="M3" s="1392"/>
      <c r="N3" s="1392"/>
      <c r="O3" s="1392"/>
      <c r="P3" s="1392"/>
      <c r="Q3" s="1392"/>
      <c r="R3" s="445"/>
      <c r="S3" s="1393" t="s">
        <v>5</v>
      </c>
      <c r="T3" s="1393"/>
      <c r="U3" s="1394"/>
    </row>
    <row r="4" spans="1:37" ht="12.6" thickBot="1" x14ac:dyDescent="0.3">
      <c r="C4" s="446"/>
      <c r="D4" s="9" t="s">
        <v>6</v>
      </c>
      <c r="F4" s="1392" t="s">
        <v>39</v>
      </c>
      <c r="G4" s="1392"/>
      <c r="H4" s="1392"/>
      <c r="I4" s="1392"/>
      <c r="J4" s="1392"/>
      <c r="K4" s="1392"/>
      <c r="L4" s="1392"/>
      <c r="M4" s="1392"/>
      <c r="N4" s="1392"/>
      <c r="O4" s="1392"/>
      <c r="P4" s="1392"/>
      <c r="Q4" s="1392"/>
      <c r="R4" s="447"/>
      <c r="S4" s="1393" t="s">
        <v>7</v>
      </c>
      <c r="T4" s="1393"/>
      <c r="U4" s="1394"/>
    </row>
    <row r="6" spans="1:37" ht="12.6" thickBot="1" x14ac:dyDescent="0.3"/>
    <row r="7" spans="1:37" ht="12.6" thickBot="1" x14ac:dyDescent="0.3">
      <c r="B7" s="10" t="s">
        <v>9</v>
      </c>
      <c r="C7" s="11" t="s">
        <v>10</v>
      </c>
      <c r="D7" s="886" t="s">
        <v>11</v>
      </c>
      <c r="E7" s="14" t="s">
        <v>12</v>
      </c>
      <c r="F7" s="15" t="s">
        <v>13</v>
      </c>
      <c r="G7" s="309" t="s">
        <v>14</v>
      </c>
      <c r="H7" s="16" t="s">
        <v>15</v>
      </c>
      <c r="I7" s="94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449" t="s">
        <v>20</v>
      </c>
      <c r="V7" s="450" t="s">
        <v>21</v>
      </c>
      <c r="W7" s="451" t="s">
        <v>22</v>
      </c>
      <c r="X7" s="451" t="s">
        <v>38</v>
      </c>
    </row>
    <row r="8" spans="1:37" s="901" customFormat="1" ht="26.4" x14ac:dyDescent="0.3">
      <c r="A8" s="887" t="s">
        <v>167</v>
      </c>
      <c r="B8" s="888"/>
      <c r="C8" s="889" t="s">
        <v>193</v>
      </c>
      <c r="D8" s="890" t="s">
        <v>689</v>
      </c>
      <c r="E8" s="891" t="s">
        <v>54</v>
      </c>
      <c r="F8" s="892">
        <v>1550</v>
      </c>
      <c r="G8" s="893">
        <v>2813595732</v>
      </c>
      <c r="H8" s="894">
        <v>45636</v>
      </c>
      <c r="I8" s="895">
        <v>2690</v>
      </c>
      <c r="J8" s="896">
        <v>45636</v>
      </c>
      <c r="K8" s="897">
        <v>2813785014</v>
      </c>
      <c r="L8" s="895">
        <v>2490</v>
      </c>
      <c r="M8" s="896">
        <v>45636</v>
      </c>
      <c r="N8" s="889">
        <v>2813719481</v>
      </c>
      <c r="O8" s="895">
        <v>5500</v>
      </c>
      <c r="P8" s="896">
        <v>45797</v>
      </c>
      <c r="Q8" s="897">
        <v>6736479464</v>
      </c>
      <c r="R8" s="895"/>
      <c r="S8" s="896"/>
      <c r="T8" s="897"/>
      <c r="U8" s="889"/>
      <c r="V8" s="898"/>
      <c r="W8" s="899"/>
      <c r="X8" s="900"/>
      <c r="AK8" s="902"/>
    </row>
    <row r="9" spans="1:37" ht="13.2" x14ac:dyDescent="0.3">
      <c r="A9" s="846" t="s">
        <v>169</v>
      </c>
      <c r="B9" s="903"/>
      <c r="C9" s="904" t="s">
        <v>193</v>
      </c>
      <c r="D9" s="890" t="s">
        <v>98</v>
      </c>
      <c r="E9" s="891" t="s">
        <v>87</v>
      </c>
      <c r="F9" s="895">
        <v>1550</v>
      </c>
      <c r="G9" s="905">
        <v>8857374681</v>
      </c>
      <c r="H9" s="906">
        <v>45706</v>
      </c>
      <c r="I9" s="895">
        <v>2690</v>
      </c>
      <c r="J9" s="896">
        <v>45706</v>
      </c>
      <c r="K9" s="897">
        <v>8857374681</v>
      </c>
      <c r="L9" s="895">
        <v>2490</v>
      </c>
      <c r="M9" s="896">
        <v>45706</v>
      </c>
      <c r="N9" s="905">
        <v>8857374681</v>
      </c>
      <c r="O9" s="895">
        <v>5900</v>
      </c>
      <c r="P9" s="896">
        <v>45900</v>
      </c>
      <c r="Q9" s="897">
        <v>18378446</v>
      </c>
      <c r="R9" s="895"/>
      <c r="S9" s="896"/>
      <c r="T9" s="897"/>
      <c r="U9" s="889" t="s">
        <v>258</v>
      </c>
      <c r="V9" s="898">
        <v>0.25</v>
      </c>
      <c r="W9" s="899">
        <v>3838.8</v>
      </c>
      <c r="X9" s="900">
        <v>2879</v>
      </c>
    </row>
    <row r="10" spans="1:37" ht="13.2" x14ac:dyDescent="0.3">
      <c r="A10" s="846" t="s">
        <v>170</v>
      </c>
      <c r="B10" s="888"/>
      <c r="C10" s="904" t="s">
        <v>114</v>
      </c>
      <c r="D10" s="907" t="s">
        <v>116</v>
      </c>
      <c r="E10" s="891" t="s">
        <v>87</v>
      </c>
      <c r="F10" s="895">
        <v>1550</v>
      </c>
      <c r="G10" s="905">
        <v>41189</v>
      </c>
      <c r="H10" s="906">
        <v>45716</v>
      </c>
      <c r="I10" s="895">
        <v>2690</v>
      </c>
      <c r="J10" s="896">
        <v>45716</v>
      </c>
      <c r="K10" s="897">
        <v>41189</v>
      </c>
      <c r="L10" s="895">
        <v>2490</v>
      </c>
      <c r="M10" s="896">
        <v>45716</v>
      </c>
      <c r="N10" s="905">
        <v>41189</v>
      </c>
      <c r="O10" s="895">
        <v>5900</v>
      </c>
      <c r="P10" s="896"/>
      <c r="Q10" s="897"/>
      <c r="R10" s="895"/>
      <c r="S10" s="896"/>
      <c r="T10" s="897"/>
      <c r="U10" s="889"/>
      <c r="V10" s="898"/>
      <c r="W10" s="899"/>
      <c r="X10" s="900"/>
    </row>
    <row r="11" spans="1:37" ht="13.2" x14ac:dyDescent="0.3">
      <c r="A11" s="846" t="s">
        <v>135</v>
      </c>
      <c r="B11" s="903"/>
      <c r="C11" s="904" t="s">
        <v>114</v>
      </c>
      <c r="D11" s="907" t="s">
        <v>128</v>
      </c>
      <c r="E11" s="891" t="s">
        <v>87</v>
      </c>
      <c r="F11" s="895">
        <v>1550</v>
      </c>
      <c r="G11" s="905">
        <v>30065</v>
      </c>
      <c r="H11" s="906">
        <v>45728</v>
      </c>
      <c r="I11" s="895">
        <v>2690</v>
      </c>
      <c r="J11" s="896">
        <v>45728</v>
      </c>
      <c r="K11" s="897">
        <v>30065</v>
      </c>
      <c r="L11" s="895">
        <v>2490</v>
      </c>
      <c r="M11" s="896">
        <v>45798</v>
      </c>
      <c r="N11" s="908">
        <v>23933</v>
      </c>
      <c r="O11" s="895">
        <v>5500</v>
      </c>
      <c r="P11" s="896">
        <v>45798</v>
      </c>
      <c r="Q11" s="897">
        <v>23933</v>
      </c>
      <c r="R11" s="895"/>
      <c r="S11" s="896"/>
      <c r="T11" s="897"/>
      <c r="U11" s="889" t="s">
        <v>258</v>
      </c>
      <c r="V11" s="898">
        <v>0.3</v>
      </c>
      <c r="W11" s="899"/>
      <c r="X11" s="900">
        <v>2686</v>
      </c>
    </row>
    <row r="12" spans="1:37" ht="28.05" customHeight="1" x14ac:dyDescent="0.3">
      <c r="A12" s="846" t="s">
        <v>171</v>
      </c>
      <c r="B12" s="888"/>
      <c r="C12" s="904" t="s">
        <v>114</v>
      </c>
      <c r="D12" s="907" t="s">
        <v>132</v>
      </c>
      <c r="E12" s="891" t="s">
        <v>87</v>
      </c>
      <c r="F12" s="895">
        <v>1550</v>
      </c>
      <c r="G12" s="905">
        <v>1640498907</v>
      </c>
      <c r="H12" s="906">
        <v>45738</v>
      </c>
      <c r="I12" s="895">
        <v>2690</v>
      </c>
      <c r="J12" s="896">
        <v>45876</v>
      </c>
      <c r="K12" s="897">
        <v>13530608</v>
      </c>
      <c r="L12" s="895">
        <v>2490</v>
      </c>
      <c r="M12" s="896">
        <v>45876</v>
      </c>
      <c r="N12" s="908">
        <v>13530608</v>
      </c>
      <c r="O12" s="895">
        <v>3000</v>
      </c>
      <c r="P12" s="896">
        <v>45890</v>
      </c>
      <c r="Q12" s="897">
        <v>8631720</v>
      </c>
      <c r="R12" s="895">
        <v>3085</v>
      </c>
      <c r="S12" s="896">
        <v>45897</v>
      </c>
      <c r="T12" s="897">
        <v>873225958</v>
      </c>
      <c r="U12" s="889"/>
      <c r="V12" s="898"/>
      <c r="W12" s="899"/>
      <c r="X12" s="900"/>
    </row>
    <row r="13" spans="1:37" ht="13.2" x14ac:dyDescent="0.3">
      <c r="A13" s="846" t="s">
        <v>272</v>
      </c>
      <c r="B13" s="903"/>
      <c r="C13" s="904" t="s">
        <v>193</v>
      </c>
      <c r="D13" s="890" t="s">
        <v>215</v>
      </c>
      <c r="E13" s="891" t="s">
        <v>195</v>
      </c>
      <c r="F13" s="895">
        <v>1860</v>
      </c>
      <c r="G13" s="909">
        <v>94628</v>
      </c>
      <c r="H13" s="906">
        <v>45839</v>
      </c>
      <c r="I13" s="895">
        <v>2690</v>
      </c>
      <c r="J13" s="896">
        <v>45871</v>
      </c>
      <c r="K13" s="897" t="s">
        <v>314</v>
      </c>
      <c r="L13" s="895">
        <v>2490</v>
      </c>
      <c r="M13" s="896">
        <v>45839</v>
      </c>
      <c r="N13" s="889">
        <v>94628</v>
      </c>
      <c r="O13" s="895">
        <v>5900</v>
      </c>
      <c r="P13" s="896">
        <v>45871</v>
      </c>
      <c r="Q13" s="897" t="s">
        <v>314</v>
      </c>
      <c r="R13" s="895"/>
      <c r="S13" s="896"/>
      <c r="T13" s="897"/>
      <c r="U13" s="889"/>
      <c r="V13" s="898"/>
      <c r="W13" s="899"/>
      <c r="X13" s="900"/>
    </row>
    <row r="14" spans="1:37" ht="13.2" x14ac:dyDescent="0.3">
      <c r="A14" s="846" t="s">
        <v>300</v>
      </c>
      <c r="B14" s="888"/>
      <c r="C14" s="910" t="s">
        <v>297</v>
      </c>
      <c r="D14" s="911" t="s">
        <v>296</v>
      </c>
      <c r="E14" s="912" t="s">
        <v>195</v>
      </c>
      <c r="F14" s="895" t="s">
        <v>66</v>
      </c>
      <c r="G14" s="889" t="s">
        <v>66</v>
      </c>
      <c r="H14" s="906">
        <v>45868</v>
      </c>
      <c r="I14" s="895">
        <v>1883</v>
      </c>
      <c r="J14" s="896">
        <v>45882</v>
      </c>
      <c r="K14" s="897">
        <v>284554</v>
      </c>
      <c r="L14" s="895">
        <v>1743</v>
      </c>
      <c r="M14" s="896">
        <v>45882</v>
      </c>
      <c r="N14" s="889">
        <v>284554</v>
      </c>
      <c r="O14" s="895">
        <v>5900</v>
      </c>
      <c r="P14" s="896">
        <v>45868</v>
      </c>
      <c r="Q14" s="897" t="s">
        <v>72</v>
      </c>
      <c r="R14" s="895">
        <v>3085</v>
      </c>
      <c r="S14" s="896">
        <v>45868</v>
      </c>
      <c r="T14" s="897" t="s">
        <v>72</v>
      </c>
      <c r="U14" s="889"/>
      <c r="V14" s="913"/>
      <c r="W14" s="899"/>
      <c r="X14" s="900"/>
    </row>
    <row r="15" spans="1:37" ht="13.2" x14ac:dyDescent="0.3">
      <c r="A15" s="846" t="s">
        <v>301</v>
      </c>
      <c r="B15" s="903"/>
      <c r="C15" s="904" t="s">
        <v>297</v>
      </c>
      <c r="D15" s="907" t="s">
        <v>298</v>
      </c>
      <c r="E15" s="891" t="s">
        <v>195</v>
      </c>
      <c r="F15" s="895" t="s">
        <v>66</v>
      </c>
      <c r="G15" s="889" t="s">
        <v>66</v>
      </c>
      <c r="H15" s="896">
        <v>45868</v>
      </c>
      <c r="I15" s="895">
        <v>1883</v>
      </c>
      <c r="J15" s="896">
        <v>45960</v>
      </c>
      <c r="K15" s="889">
        <v>8.5904317894330304E+16</v>
      </c>
      <c r="L15" s="895">
        <v>1743</v>
      </c>
      <c r="M15" s="896">
        <v>45960</v>
      </c>
      <c r="N15" s="889">
        <v>8.5904294854330304E+16</v>
      </c>
      <c r="O15" s="895">
        <v>5900</v>
      </c>
      <c r="P15" s="896">
        <v>45868</v>
      </c>
      <c r="Q15" s="897">
        <v>6980526</v>
      </c>
      <c r="R15" s="895">
        <v>3085</v>
      </c>
      <c r="S15" s="896">
        <v>45889</v>
      </c>
      <c r="T15" s="897">
        <v>8.59033279243232E+16</v>
      </c>
      <c r="U15" s="889"/>
      <c r="V15" s="898"/>
      <c r="W15" s="899"/>
      <c r="X15" s="900"/>
    </row>
    <row r="16" spans="1:37" ht="13.2" x14ac:dyDescent="0.3">
      <c r="A16" s="846" t="s">
        <v>302</v>
      </c>
      <c r="B16" s="888"/>
      <c r="C16" s="904" t="s">
        <v>297</v>
      </c>
      <c r="D16" s="907" t="s">
        <v>299</v>
      </c>
      <c r="E16" s="891" t="s">
        <v>195</v>
      </c>
      <c r="F16" s="895" t="s">
        <v>66</v>
      </c>
      <c r="G16" s="889" t="s">
        <v>66</v>
      </c>
      <c r="H16" s="896">
        <v>45868</v>
      </c>
      <c r="I16" s="895">
        <v>1883</v>
      </c>
      <c r="J16" s="896">
        <v>45957</v>
      </c>
      <c r="K16" s="897" t="s">
        <v>431</v>
      </c>
      <c r="L16" s="895">
        <v>1743</v>
      </c>
      <c r="M16" s="896">
        <v>45957</v>
      </c>
      <c r="N16" s="889" t="s">
        <v>431</v>
      </c>
      <c r="O16" s="895">
        <v>5900</v>
      </c>
      <c r="P16" s="896">
        <v>45868</v>
      </c>
      <c r="Q16" s="897">
        <v>10743</v>
      </c>
      <c r="R16" s="895"/>
      <c r="S16" s="896"/>
      <c r="T16" s="897"/>
      <c r="U16" s="889" t="s">
        <v>258</v>
      </c>
      <c r="V16" s="913">
        <v>0.25</v>
      </c>
      <c r="W16" s="899">
        <v>3199</v>
      </c>
      <c r="X16" s="900">
        <v>2879</v>
      </c>
    </row>
    <row r="17" spans="1:37" ht="13.2" x14ac:dyDescent="0.3">
      <c r="A17" s="846" t="s">
        <v>303</v>
      </c>
      <c r="B17" s="903" t="s">
        <v>304</v>
      </c>
      <c r="C17" s="904" t="s">
        <v>297</v>
      </c>
      <c r="D17" s="907" t="s">
        <v>340</v>
      </c>
      <c r="E17" s="891" t="s">
        <v>195</v>
      </c>
      <c r="F17" s="895" t="s">
        <v>66</v>
      </c>
      <c r="G17" s="889" t="s">
        <v>66</v>
      </c>
      <c r="H17" s="896">
        <v>45874</v>
      </c>
      <c r="I17" s="895">
        <v>1883</v>
      </c>
      <c r="J17" s="896">
        <v>45880</v>
      </c>
      <c r="K17" s="914" t="s">
        <v>368</v>
      </c>
      <c r="L17" s="895">
        <v>1743</v>
      </c>
      <c r="M17" s="896">
        <v>45880</v>
      </c>
      <c r="N17" s="914" t="s">
        <v>368</v>
      </c>
      <c r="O17" s="895">
        <v>5900</v>
      </c>
      <c r="P17" s="896">
        <v>45874</v>
      </c>
      <c r="Q17" s="897">
        <v>8.59063869943216E+16</v>
      </c>
      <c r="R17" s="895">
        <v>2685</v>
      </c>
      <c r="S17" s="896">
        <v>45894</v>
      </c>
      <c r="T17" s="897">
        <v>250825</v>
      </c>
      <c r="U17" s="889" t="s">
        <v>258</v>
      </c>
      <c r="V17" s="913">
        <v>0.25</v>
      </c>
      <c r="W17" s="899">
        <v>3199</v>
      </c>
      <c r="X17" s="900">
        <v>2879</v>
      </c>
    </row>
    <row r="18" spans="1:37" s="876" customFormat="1" ht="13.2" x14ac:dyDescent="0.3">
      <c r="A18" s="874" t="s">
        <v>282</v>
      </c>
      <c r="B18" s="888" t="s">
        <v>114</v>
      </c>
      <c r="C18" s="915"/>
      <c r="D18" s="907" t="s">
        <v>255</v>
      </c>
      <c r="E18" s="891" t="s">
        <v>195</v>
      </c>
      <c r="F18" s="916">
        <v>1860</v>
      </c>
      <c r="G18" s="917">
        <v>94957341</v>
      </c>
      <c r="H18" s="918">
        <v>45843</v>
      </c>
      <c r="I18" s="916">
        <v>2690</v>
      </c>
      <c r="J18" s="918">
        <v>45843</v>
      </c>
      <c r="K18" s="914">
        <v>94957341</v>
      </c>
      <c r="L18" s="916">
        <v>2490</v>
      </c>
      <c r="M18" s="918">
        <v>45843</v>
      </c>
      <c r="N18" s="917">
        <v>94957341</v>
      </c>
      <c r="O18" s="916">
        <v>5900</v>
      </c>
      <c r="P18" s="918">
        <v>45901</v>
      </c>
      <c r="Q18" s="914" t="s">
        <v>72</v>
      </c>
      <c r="R18" s="916"/>
      <c r="S18" s="917"/>
      <c r="T18" s="914"/>
      <c r="U18" s="917" t="s">
        <v>258</v>
      </c>
      <c r="V18" s="917"/>
      <c r="W18" s="919"/>
      <c r="X18" s="920"/>
      <c r="AK18" s="921"/>
    </row>
    <row r="19" spans="1:37" ht="13.2" x14ac:dyDescent="0.3">
      <c r="A19" s="846" t="s">
        <v>312</v>
      </c>
      <c r="B19" s="903"/>
      <c r="C19" s="904" t="s">
        <v>193</v>
      </c>
      <c r="D19" s="890" t="s">
        <v>311</v>
      </c>
      <c r="E19" s="891" t="s">
        <v>195</v>
      </c>
      <c r="F19" s="895">
        <v>1860</v>
      </c>
      <c r="G19" s="889">
        <v>990081</v>
      </c>
      <c r="H19" s="896">
        <v>45870</v>
      </c>
      <c r="L19" s="895">
        <v>2490</v>
      </c>
      <c r="M19" s="896">
        <v>46206</v>
      </c>
      <c r="N19" s="897">
        <v>252623</v>
      </c>
      <c r="O19" s="895">
        <v>5900</v>
      </c>
      <c r="P19" s="896">
        <v>45870</v>
      </c>
      <c r="Q19" s="897">
        <v>990081</v>
      </c>
      <c r="R19" s="895"/>
      <c r="S19" s="896"/>
      <c r="T19" s="897"/>
      <c r="U19" s="889" t="s">
        <v>211</v>
      </c>
      <c r="V19" s="913">
        <v>0.18</v>
      </c>
      <c r="W19" s="899">
        <v>3199</v>
      </c>
      <c r="X19" s="900">
        <v>2623</v>
      </c>
    </row>
    <row r="20" spans="1:37" ht="13.2" x14ac:dyDescent="0.3">
      <c r="A20" s="846" t="s">
        <v>328</v>
      </c>
      <c r="B20" s="888"/>
      <c r="C20" s="904" t="s">
        <v>193</v>
      </c>
      <c r="D20" s="890" t="s">
        <v>327</v>
      </c>
      <c r="E20" s="891" t="s">
        <v>195</v>
      </c>
      <c r="F20" s="895"/>
      <c r="G20" s="889"/>
      <c r="H20" s="896"/>
      <c r="I20" s="895"/>
      <c r="J20" s="896"/>
      <c r="K20" s="897"/>
      <c r="L20" s="895"/>
      <c r="M20" s="896"/>
      <c r="N20" s="889"/>
      <c r="O20" s="895" t="s">
        <v>496</v>
      </c>
      <c r="P20" s="896" t="s">
        <v>496</v>
      </c>
      <c r="Q20" s="897" t="s">
        <v>496</v>
      </c>
      <c r="R20" s="895"/>
      <c r="S20" s="922"/>
      <c r="T20" s="923"/>
      <c r="U20" s="889"/>
      <c r="V20" s="913"/>
      <c r="W20" s="899"/>
      <c r="X20" s="900"/>
    </row>
    <row r="21" spans="1:37" ht="13.2" x14ac:dyDescent="0.3">
      <c r="A21" s="846" t="s">
        <v>364</v>
      </c>
      <c r="B21" s="903"/>
      <c r="C21" s="904" t="s">
        <v>114</v>
      </c>
      <c r="D21" s="907" t="s">
        <v>362</v>
      </c>
      <c r="E21" s="891" t="s">
        <v>195</v>
      </c>
      <c r="F21" s="895"/>
      <c r="G21" s="889"/>
      <c r="H21" s="896"/>
      <c r="I21" s="895"/>
      <c r="J21" s="896"/>
      <c r="K21" s="897"/>
      <c r="L21" s="895"/>
      <c r="M21" s="896"/>
      <c r="N21" s="889"/>
      <c r="O21" s="895">
        <v>5900</v>
      </c>
      <c r="P21" s="896">
        <v>45901</v>
      </c>
      <c r="Q21" s="897" t="s">
        <v>72</v>
      </c>
      <c r="R21" s="895"/>
      <c r="S21" s="889"/>
      <c r="T21" s="897"/>
      <c r="U21" s="889"/>
      <c r="V21" s="913"/>
      <c r="W21" s="899"/>
      <c r="X21" s="900"/>
    </row>
    <row r="22" spans="1:37" ht="13.2" x14ac:dyDescent="0.3">
      <c r="A22" s="846"/>
      <c r="B22" s="888"/>
      <c r="C22" s="904" t="s">
        <v>193</v>
      </c>
      <c r="D22" s="907" t="s">
        <v>363</v>
      </c>
      <c r="E22" s="891" t="s">
        <v>195</v>
      </c>
      <c r="F22" s="895" t="s">
        <v>66</v>
      </c>
      <c r="G22" s="889" t="s">
        <v>66</v>
      </c>
      <c r="H22" s="896">
        <v>45897</v>
      </c>
      <c r="I22" s="895">
        <v>1345</v>
      </c>
      <c r="J22" s="896">
        <v>45897</v>
      </c>
      <c r="K22" s="924">
        <v>791653333</v>
      </c>
      <c r="L22" s="895">
        <v>1245</v>
      </c>
      <c r="M22" s="896">
        <v>45897</v>
      </c>
      <c r="N22" s="889">
        <v>7787490</v>
      </c>
      <c r="O22" s="895">
        <v>5900</v>
      </c>
      <c r="P22" s="896">
        <v>45917</v>
      </c>
      <c r="Q22" s="897">
        <v>8.5901731440326E+16</v>
      </c>
      <c r="R22" s="895"/>
      <c r="S22" s="889"/>
      <c r="T22" s="897"/>
      <c r="U22" s="889"/>
      <c r="V22" s="898"/>
      <c r="W22" s="899"/>
      <c r="X22" s="900"/>
    </row>
    <row r="23" spans="1:37" ht="13.2" x14ac:dyDescent="0.3">
      <c r="A23" s="846"/>
      <c r="B23" s="903"/>
      <c r="C23" s="904" t="s">
        <v>193</v>
      </c>
      <c r="D23" s="890" t="s">
        <v>365</v>
      </c>
      <c r="E23" s="891" t="s">
        <v>195</v>
      </c>
      <c r="F23" s="895" t="s">
        <v>66</v>
      </c>
      <c r="G23" s="889" t="s">
        <v>66</v>
      </c>
      <c r="H23" s="896">
        <v>45897</v>
      </c>
      <c r="I23" s="895">
        <v>1345</v>
      </c>
      <c r="J23" s="896">
        <v>45960</v>
      </c>
      <c r="K23" s="897">
        <v>5789641231</v>
      </c>
      <c r="L23" s="895">
        <v>1245</v>
      </c>
      <c r="M23" s="896">
        <v>46262</v>
      </c>
      <c r="N23" s="889">
        <v>78986402</v>
      </c>
      <c r="O23" s="895">
        <v>5900</v>
      </c>
      <c r="P23" s="896">
        <v>45932</v>
      </c>
      <c r="Q23" s="897" t="s">
        <v>442</v>
      </c>
      <c r="R23" s="895"/>
      <c r="S23" s="896"/>
      <c r="T23" s="897"/>
      <c r="U23" s="889" t="s">
        <v>258</v>
      </c>
      <c r="V23" s="898">
        <v>0.18</v>
      </c>
      <c r="W23" s="899"/>
      <c r="X23" s="900"/>
    </row>
    <row r="24" spans="1:37" ht="13.2" x14ac:dyDescent="0.3">
      <c r="A24" s="846" t="s">
        <v>387</v>
      </c>
      <c r="B24" s="903"/>
      <c r="C24" s="925" t="s">
        <v>297</v>
      </c>
      <c r="D24" s="926" t="s">
        <v>388</v>
      </c>
      <c r="E24" s="927" t="s">
        <v>195</v>
      </c>
      <c r="F24" s="928" t="s">
        <v>66</v>
      </c>
      <c r="G24" s="929" t="s">
        <v>66</v>
      </c>
      <c r="H24" s="930">
        <v>45894</v>
      </c>
      <c r="I24" s="928">
        <v>1345</v>
      </c>
      <c r="J24" s="930">
        <v>45897</v>
      </c>
      <c r="K24" s="931">
        <v>56798416</v>
      </c>
      <c r="L24" s="928">
        <v>1245</v>
      </c>
      <c r="M24" s="930">
        <v>46262</v>
      </c>
      <c r="N24" s="929">
        <v>45213690</v>
      </c>
      <c r="O24" s="928">
        <v>5900</v>
      </c>
      <c r="P24" s="930">
        <v>46262</v>
      </c>
      <c r="Q24" s="929">
        <v>45213690</v>
      </c>
      <c r="R24" s="928"/>
      <c r="S24" s="930"/>
      <c r="T24" s="931"/>
      <c r="U24" s="929" t="s">
        <v>211</v>
      </c>
      <c r="V24" s="932">
        <v>0.3</v>
      </c>
      <c r="W24" s="933">
        <v>3199</v>
      </c>
      <c r="X24" s="934">
        <v>2239</v>
      </c>
    </row>
    <row r="25" spans="1:37" ht="13.2" x14ac:dyDescent="0.3">
      <c r="A25" s="846" t="s">
        <v>381</v>
      </c>
      <c r="B25" s="903" t="s">
        <v>380</v>
      </c>
      <c r="C25" s="925" t="s">
        <v>193</v>
      </c>
      <c r="D25" s="935" t="s">
        <v>379</v>
      </c>
      <c r="E25" s="927" t="s">
        <v>195</v>
      </c>
      <c r="F25" s="928" t="s">
        <v>66</v>
      </c>
      <c r="G25" s="929" t="s">
        <v>66</v>
      </c>
      <c r="H25" s="930">
        <v>45895</v>
      </c>
      <c r="I25" s="928">
        <v>2690</v>
      </c>
      <c r="J25" s="930">
        <v>45904</v>
      </c>
      <c r="K25" s="931">
        <v>15075614</v>
      </c>
      <c r="L25" s="928">
        <v>1245</v>
      </c>
      <c r="M25" s="930">
        <v>45897</v>
      </c>
      <c r="N25" s="929">
        <v>36001691</v>
      </c>
      <c r="O25" s="928">
        <v>5900</v>
      </c>
      <c r="P25" s="930">
        <v>45902</v>
      </c>
      <c r="Q25" s="931">
        <v>57669743</v>
      </c>
      <c r="R25" s="928"/>
      <c r="S25" s="930"/>
      <c r="T25" s="931"/>
      <c r="U25" s="929"/>
      <c r="V25" s="932"/>
      <c r="W25" s="933"/>
      <c r="X25" s="934"/>
    </row>
    <row r="26" spans="1:37" ht="13.2" x14ac:dyDescent="0.3">
      <c r="A26" s="846" t="s">
        <v>420</v>
      </c>
      <c r="B26" s="903"/>
      <c r="C26" s="925" t="s">
        <v>114</v>
      </c>
      <c r="D26" s="926" t="s">
        <v>419</v>
      </c>
      <c r="E26" s="927" t="s">
        <v>195</v>
      </c>
      <c r="F26" s="928" t="s">
        <v>66</v>
      </c>
      <c r="G26" s="929" t="s">
        <v>66</v>
      </c>
      <c r="H26" s="930">
        <v>45898</v>
      </c>
      <c r="I26" s="928">
        <v>1345</v>
      </c>
      <c r="J26" s="930">
        <v>45898</v>
      </c>
      <c r="K26" s="931">
        <v>2908250</v>
      </c>
      <c r="L26" s="928">
        <v>1245</v>
      </c>
      <c r="M26" s="930">
        <v>45898</v>
      </c>
      <c r="N26" s="929">
        <v>2908250</v>
      </c>
      <c r="O26" s="928">
        <v>5900</v>
      </c>
      <c r="P26" s="930">
        <v>45882</v>
      </c>
      <c r="Q26" s="931" t="s">
        <v>72</v>
      </c>
      <c r="R26" s="928"/>
      <c r="S26" s="930"/>
      <c r="T26" s="931"/>
      <c r="U26" s="929"/>
      <c r="V26" s="932"/>
      <c r="W26" s="933"/>
      <c r="X26" s="934"/>
    </row>
    <row r="27" spans="1:37" ht="13.2" x14ac:dyDescent="0.3">
      <c r="A27" s="846" t="s">
        <v>436</v>
      </c>
      <c r="B27" s="903"/>
      <c r="C27" s="925" t="s">
        <v>193</v>
      </c>
      <c r="D27" s="926" t="s">
        <v>435</v>
      </c>
      <c r="E27" s="927" t="s">
        <v>195</v>
      </c>
      <c r="F27" s="928" t="s">
        <v>66</v>
      </c>
      <c r="G27" s="929" t="s">
        <v>66</v>
      </c>
      <c r="H27" s="930">
        <v>45911</v>
      </c>
      <c r="I27" s="928"/>
      <c r="J27" s="930"/>
      <c r="K27" s="931"/>
      <c r="L27" s="928"/>
      <c r="M27" s="930"/>
      <c r="N27" s="929"/>
      <c r="O27" s="928"/>
      <c r="P27" s="930"/>
      <c r="Q27" s="931"/>
      <c r="R27" s="928"/>
      <c r="S27" s="930"/>
      <c r="T27" s="931"/>
      <c r="U27" s="929"/>
      <c r="V27" s="932"/>
      <c r="W27" s="933"/>
      <c r="X27" s="934"/>
    </row>
    <row r="28" spans="1:37" ht="13.2" x14ac:dyDescent="0.3">
      <c r="A28" s="846"/>
      <c r="B28" s="903"/>
      <c r="C28" s="925"/>
      <c r="D28" s="926"/>
      <c r="E28" s="927"/>
      <c r="F28" s="928"/>
      <c r="G28" s="929"/>
      <c r="H28" s="930"/>
      <c r="I28" s="928"/>
      <c r="J28" s="930"/>
      <c r="K28" s="931"/>
      <c r="L28" s="928"/>
      <c r="M28" s="930"/>
      <c r="N28" s="929"/>
      <c r="O28" s="928"/>
      <c r="P28" s="930"/>
      <c r="Q28" s="931"/>
      <c r="R28" s="928"/>
      <c r="S28" s="930"/>
      <c r="T28" s="931"/>
      <c r="U28" s="929"/>
      <c r="V28" s="932"/>
      <c r="W28" s="933"/>
      <c r="X28" s="934"/>
    </row>
    <row r="29" spans="1:37" ht="13.2" x14ac:dyDescent="0.3">
      <c r="A29" s="846"/>
      <c r="B29" s="903"/>
      <c r="C29" s="925"/>
      <c r="D29" s="926"/>
      <c r="E29" s="927"/>
      <c r="F29" s="928"/>
      <c r="G29" s="929"/>
      <c r="H29" s="930"/>
      <c r="I29" s="928"/>
      <c r="J29" s="930"/>
      <c r="K29" s="931"/>
      <c r="L29" s="928"/>
      <c r="M29" s="930"/>
      <c r="N29" s="929"/>
      <c r="O29" s="928"/>
      <c r="P29" s="930"/>
      <c r="Q29" s="931"/>
      <c r="R29" s="928"/>
      <c r="S29" s="930"/>
      <c r="T29" s="931"/>
      <c r="U29" s="929"/>
      <c r="V29" s="932"/>
      <c r="W29" s="933"/>
      <c r="X29" s="934"/>
    </row>
    <row r="30" spans="1:37" ht="13.2" x14ac:dyDescent="0.3">
      <c r="A30" s="846"/>
      <c r="B30" s="903"/>
      <c r="C30" s="925"/>
      <c r="D30" s="926"/>
      <c r="E30" s="927"/>
      <c r="F30" s="928"/>
      <c r="G30" s="929"/>
      <c r="H30" s="930"/>
      <c r="I30" s="928"/>
      <c r="J30" s="930"/>
      <c r="K30" s="931"/>
      <c r="L30" s="928"/>
      <c r="M30" s="930"/>
      <c r="N30" s="929"/>
      <c r="O30" s="928"/>
      <c r="P30" s="930"/>
      <c r="Q30" s="931"/>
      <c r="R30" s="928"/>
      <c r="S30" s="930"/>
      <c r="T30" s="931"/>
      <c r="U30" s="929"/>
      <c r="V30" s="932"/>
      <c r="W30" s="933"/>
      <c r="X30" s="934"/>
    </row>
    <row r="31" spans="1:37" ht="13.8" thickBot="1" x14ac:dyDescent="0.35">
      <c r="A31" s="846"/>
      <c r="B31" s="888"/>
      <c r="C31" s="936"/>
      <c r="D31" s="937"/>
      <c r="E31" s="938"/>
      <c r="F31" s="939"/>
      <c r="G31" s="940"/>
      <c r="H31" s="941"/>
      <c r="I31" s="939"/>
      <c r="J31" s="941"/>
      <c r="K31" s="942"/>
      <c r="L31" s="939"/>
      <c r="M31" s="941"/>
      <c r="N31" s="940"/>
      <c r="O31" s="939"/>
      <c r="P31" s="941"/>
      <c r="Q31" s="942"/>
      <c r="R31" s="939"/>
      <c r="S31" s="941"/>
      <c r="T31" s="942"/>
      <c r="U31" s="940"/>
      <c r="V31" s="943"/>
      <c r="W31" s="944"/>
      <c r="X31" s="945"/>
    </row>
    <row r="34" spans="1:41" x14ac:dyDescent="0.25">
      <c r="J34" s="855"/>
    </row>
    <row r="35" spans="1:41" ht="12.6" thickBot="1" x14ac:dyDescent="0.3"/>
    <row r="36" spans="1:41" ht="12.6" thickBot="1" x14ac:dyDescent="0.3">
      <c r="B36" s="1395" t="s">
        <v>24</v>
      </c>
      <c r="C36" s="1396"/>
      <c r="D36" s="1396"/>
      <c r="E36" s="1396"/>
      <c r="F36" s="1396"/>
      <c r="G36" s="1396"/>
      <c r="H36" s="1396"/>
      <c r="I36" s="1396"/>
      <c r="J36" s="1396"/>
      <c r="K36" s="1396"/>
      <c r="L36" s="1396"/>
      <c r="M36" s="1396"/>
      <c r="N36" s="1396"/>
      <c r="O36" s="1396"/>
      <c r="P36" s="1396"/>
      <c r="Q36" s="1396"/>
      <c r="R36" s="1396"/>
      <c r="S36" s="1396"/>
      <c r="T36" s="1396"/>
      <c r="U36" s="1396"/>
      <c r="V36" s="1396"/>
      <c r="W36" s="1396"/>
      <c r="X36" s="1396"/>
      <c r="Y36" s="1396"/>
      <c r="Z36" s="1396"/>
      <c r="AA36" s="1396"/>
      <c r="AB36" s="1396"/>
      <c r="AC36" s="1396"/>
      <c r="AD36" s="1396"/>
      <c r="AE36" s="1396"/>
      <c r="AF36" s="1396"/>
      <c r="AG36" s="1396"/>
      <c r="AH36" s="1396"/>
      <c r="AI36" s="1396"/>
      <c r="AJ36" s="1396"/>
      <c r="AK36" s="1396"/>
      <c r="AL36" s="1396"/>
      <c r="AM36" s="1396"/>
      <c r="AN36" s="1397"/>
    </row>
    <row r="37" spans="1:41" ht="12.6" thickBot="1" x14ac:dyDescent="0.3">
      <c r="B37" s="496" t="s">
        <v>9</v>
      </c>
      <c r="C37" s="497" t="s">
        <v>10</v>
      </c>
      <c r="D37" s="496" t="s">
        <v>11</v>
      </c>
      <c r="E37" s="1398" t="s">
        <v>25</v>
      </c>
      <c r="F37" s="1399"/>
      <c r="G37" s="1400"/>
      <c r="H37" s="1401" t="s">
        <v>26</v>
      </c>
      <c r="I37" s="1401"/>
      <c r="J37" s="1401"/>
      <c r="K37" s="1398" t="s">
        <v>27</v>
      </c>
      <c r="L37" s="1399"/>
      <c r="M37" s="1400"/>
      <c r="N37" s="1401" t="s">
        <v>28</v>
      </c>
      <c r="O37" s="1401"/>
      <c r="P37" s="1401"/>
      <c r="Q37" s="1398" t="s">
        <v>29</v>
      </c>
      <c r="R37" s="1399"/>
      <c r="S37" s="1400"/>
      <c r="T37" s="1401" t="s">
        <v>30</v>
      </c>
      <c r="U37" s="1401"/>
      <c r="V37" s="1401"/>
      <c r="W37" s="1398" t="s">
        <v>36</v>
      </c>
      <c r="X37" s="1399"/>
      <c r="Y37" s="1400"/>
      <c r="Z37" s="1401" t="s">
        <v>31</v>
      </c>
      <c r="AA37" s="1401"/>
      <c r="AB37" s="1401"/>
      <c r="AC37" s="1398" t="s">
        <v>32</v>
      </c>
      <c r="AD37" s="1399"/>
      <c r="AE37" s="1400"/>
      <c r="AF37" s="1401" t="s">
        <v>33</v>
      </c>
      <c r="AG37" s="1401"/>
      <c r="AH37" s="1401"/>
      <c r="AI37" s="1398" t="s">
        <v>34</v>
      </c>
      <c r="AJ37" s="1399"/>
      <c r="AK37" s="1400"/>
      <c r="AL37" s="1401" t="s">
        <v>35</v>
      </c>
      <c r="AM37" s="1401"/>
      <c r="AN37" s="1402"/>
    </row>
    <row r="38" spans="1:41" ht="12.6" thickBot="1" x14ac:dyDescent="0.3">
      <c r="A38" s="846"/>
      <c r="B38" s="452"/>
      <c r="C38" s="452"/>
      <c r="D38" s="452"/>
      <c r="E38" s="499" t="s">
        <v>37</v>
      </c>
      <c r="F38" s="500" t="s">
        <v>15</v>
      </c>
      <c r="G38" s="501" t="s">
        <v>14</v>
      </c>
      <c r="H38" s="500" t="s">
        <v>37</v>
      </c>
      <c r="I38" s="500" t="s">
        <v>15</v>
      </c>
      <c r="J38" s="500" t="s">
        <v>14</v>
      </c>
      <c r="K38" s="499" t="s">
        <v>37</v>
      </c>
      <c r="L38" s="500" t="s">
        <v>15</v>
      </c>
      <c r="M38" s="501" t="s">
        <v>14</v>
      </c>
      <c r="N38" s="500" t="s">
        <v>37</v>
      </c>
      <c r="O38" s="500" t="s">
        <v>15</v>
      </c>
      <c r="P38" s="500" t="s">
        <v>14</v>
      </c>
      <c r="Q38" s="499" t="s">
        <v>37</v>
      </c>
      <c r="R38" s="500" t="s">
        <v>15</v>
      </c>
      <c r="S38" s="501" t="s">
        <v>14</v>
      </c>
      <c r="T38" s="500" t="s">
        <v>37</v>
      </c>
      <c r="U38" s="500" t="s">
        <v>15</v>
      </c>
      <c r="V38" s="500" t="s">
        <v>14</v>
      </c>
      <c r="W38" s="499" t="s">
        <v>37</v>
      </c>
      <c r="X38" s="500" t="s">
        <v>15</v>
      </c>
      <c r="Y38" s="501" t="s">
        <v>14</v>
      </c>
      <c r="Z38" s="500" t="s">
        <v>37</v>
      </c>
      <c r="AA38" s="500" t="s">
        <v>15</v>
      </c>
      <c r="AB38" s="500" t="s">
        <v>14</v>
      </c>
      <c r="AC38" s="499" t="s">
        <v>37</v>
      </c>
      <c r="AD38" s="500" t="s">
        <v>15</v>
      </c>
      <c r="AE38" s="501" t="s">
        <v>14</v>
      </c>
      <c r="AF38" s="500" t="s">
        <v>37</v>
      </c>
      <c r="AG38" s="500" t="s">
        <v>15</v>
      </c>
      <c r="AH38" s="500" t="s">
        <v>14</v>
      </c>
      <c r="AI38" s="499" t="s">
        <v>37</v>
      </c>
      <c r="AJ38" s="500" t="s">
        <v>15</v>
      </c>
      <c r="AK38" s="946" t="s">
        <v>14</v>
      </c>
      <c r="AL38" s="500" t="s">
        <v>37</v>
      </c>
      <c r="AM38" s="500" t="s">
        <v>15</v>
      </c>
      <c r="AN38" s="501" t="s">
        <v>14</v>
      </c>
    </row>
    <row r="39" spans="1:41" ht="13.2" x14ac:dyDescent="0.25">
      <c r="A39" s="846"/>
      <c r="B39" s="295"/>
      <c r="C39" s="57">
        <v>1</v>
      </c>
      <c r="D39" s="907" t="str">
        <f>D8</f>
        <v>JOSÉ GABRIEL TRUJILLO RODRIGUEZ</v>
      </c>
      <c r="E39" s="791"/>
      <c r="F39" s="792"/>
      <c r="G39" s="793"/>
      <c r="H39" s="794">
        <v>2686</v>
      </c>
      <c r="I39" s="795">
        <v>45782</v>
      </c>
      <c r="J39" s="796">
        <v>48922771</v>
      </c>
      <c r="K39" s="794">
        <v>2686</v>
      </c>
      <c r="L39" s="795">
        <v>45934</v>
      </c>
      <c r="M39" s="796">
        <v>62348679</v>
      </c>
      <c r="N39" s="794">
        <v>2686</v>
      </c>
      <c r="O39" s="795">
        <v>45964</v>
      </c>
      <c r="P39" s="796">
        <v>51492511</v>
      </c>
      <c r="Q39" s="794">
        <v>2686</v>
      </c>
      <c r="R39" s="795">
        <v>45992</v>
      </c>
      <c r="S39" s="796">
        <v>77361689</v>
      </c>
      <c r="T39" s="794">
        <v>2686</v>
      </c>
      <c r="U39" s="795">
        <v>45996</v>
      </c>
      <c r="V39" s="796">
        <v>89312066</v>
      </c>
      <c r="W39" s="797"/>
      <c r="X39" s="792"/>
      <c r="Y39" s="798"/>
      <c r="Z39" s="794">
        <v>2686</v>
      </c>
      <c r="AA39" s="799">
        <v>46058</v>
      </c>
      <c r="AB39" s="800">
        <v>71026784</v>
      </c>
      <c r="AC39" s="794">
        <v>2686</v>
      </c>
      <c r="AD39" s="799">
        <v>46086</v>
      </c>
      <c r="AE39" s="800">
        <v>8749621354</v>
      </c>
      <c r="AF39" s="794">
        <v>2686</v>
      </c>
      <c r="AG39" s="799">
        <v>46115</v>
      </c>
      <c r="AH39" s="800">
        <v>26344497</v>
      </c>
      <c r="AI39" s="794">
        <v>2686</v>
      </c>
      <c r="AJ39" s="799">
        <v>46147</v>
      </c>
      <c r="AK39" s="796">
        <v>992592</v>
      </c>
      <c r="AL39" s="794">
        <v>2686</v>
      </c>
      <c r="AM39" s="799" t="s">
        <v>785</v>
      </c>
      <c r="AN39" s="800">
        <v>46351542</v>
      </c>
      <c r="AO39" s="439" t="s">
        <v>816</v>
      </c>
    </row>
    <row r="40" spans="1:41" ht="13.2" x14ac:dyDescent="0.25">
      <c r="A40" s="846"/>
      <c r="B40" s="296"/>
      <c r="C40" s="59"/>
      <c r="D40" s="907" t="str">
        <f t="shared" ref="D40:D46" si="0">D9</f>
        <v xml:space="preserve">MEREDITH PAOLA LINARES LIMON </v>
      </c>
      <c r="E40" s="802"/>
      <c r="F40" s="803"/>
      <c r="G40" s="804"/>
      <c r="H40" s="805">
        <v>2879</v>
      </c>
      <c r="I40" s="75">
        <v>45901</v>
      </c>
      <c r="J40" s="947">
        <v>29230301</v>
      </c>
      <c r="K40" s="805">
        <v>2879</v>
      </c>
      <c r="L40" s="75">
        <v>45936</v>
      </c>
      <c r="M40" s="806">
        <v>43732221</v>
      </c>
      <c r="N40" s="805">
        <v>2879</v>
      </c>
      <c r="O40" s="75">
        <v>45966</v>
      </c>
      <c r="P40" s="806">
        <v>99207821</v>
      </c>
      <c r="Q40" s="805">
        <v>2879</v>
      </c>
      <c r="R40" s="75">
        <v>46011</v>
      </c>
      <c r="S40" s="806">
        <v>34343221</v>
      </c>
      <c r="T40" s="805">
        <v>2879</v>
      </c>
      <c r="U40" s="75">
        <v>46011</v>
      </c>
      <c r="V40" s="806">
        <v>34343221</v>
      </c>
      <c r="W40" s="807"/>
      <c r="X40" s="803"/>
      <c r="Y40" s="808"/>
      <c r="Z40" s="805">
        <v>2879</v>
      </c>
      <c r="AA40" s="75">
        <v>46059</v>
      </c>
      <c r="AB40" s="809">
        <v>72788769</v>
      </c>
      <c r="AC40" s="805">
        <v>2686</v>
      </c>
      <c r="AD40" s="75">
        <v>46081</v>
      </c>
      <c r="AE40" s="809">
        <v>604477219</v>
      </c>
      <c r="AF40" s="805">
        <v>2879</v>
      </c>
      <c r="AG40" s="75">
        <v>46116</v>
      </c>
      <c r="AH40" s="809">
        <v>79389321</v>
      </c>
      <c r="AI40" s="805">
        <v>2879</v>
      </c>
      <c r="AJ40" s="75">
        <v>46147</v>
      </c>
      <c r="AK40" s="806">
        <v>862889</v>
      </c>
      <c r="AL40" s="805">
        <v>2879</v>
      </c>
      <c r="AM40" s="75" t="s">
        <v>790</v>
      </c>
      <c r="AN40" s="809">
        <v>62438605</v>
      </c>
      <c r="AO40" s="439" t="s">
        <v>816</v>
      </c>
    </row>
    <row r="41" spans="1:41" ht="13.2" x14ac:dyDescent="0.25">
      <c r="A41" s="846"/>
      <c r="B41" s="296"/>
      <c r="C41" s="59"/>
      <c r="D41" s="907" t="str">
        <f t="shared" si="0"/>
        <v>ERENDIRA DANAE SANTIAGO MARTINEZ</v>
      </c>
      <c r="E41" s="812">
        <v>2239</v>
      </c>
      <c r="F41" s="75">
        <v>45873</v>
      </c>
      <c r="G41" s="813" t="s">
        <v>317</v>
      </c>
      <c r="H41" s="812">
        <v>2239</v>
      </c>
      <c r="I41" s="75">
        <v>45902</v>
      </c>
      <c r="J41" s="806">
        <v>544138</v>
      </c>
      <c r="K41" s="805">
        <v>2239</v>
      </c>
      <c r="L41" s="75">
        <v>45931</v>
      </c>
      <c r="M41" s="806">
        <v>685532</v>
      </c>
      <c r="N41" s="805">
        <v>2239</v>
      </c>
      <c r="O41" s="75">
        <v>45966</v>
      </c>
      <c r="P41" s="806">
        <v>8.5906567504330896E+16</v>
      </c>
      <c r="Q41" s="812">
        <v>2239</v>
      </c>
      <c r="R41" s="75">
        <v>45996</v>
      </c>
      <c r="S41" s="806">
        <v>55664471</v>
      </c>
      <c r="T41" s="812">
        <v>2239</v>
      </c>
      <c r="U41" s="75">
        <v>46027</v>
      </c>
      <c r="V41" s="806">
        <v>8.5902471214300192E+16</v>
      </c>
      <c r="W41" s="812">
        <v>2239</v>
      </c>
      <c r="X41" s="75">
        <v>45996</v>
      </c>
      <c r="Y41" s="806">
        <v>78954231</v>
      </c>
      <c r="Z41" s="812">
        <v>2239</v>
      </c>
      <c r="AA41" s="75">
        <v>46058</v>
      </c>
      <c r="AB41" s="806">
        <v>899065214537789</v>
      </c>
      <c r="AC41" s="812">
        <v>2239</v>
      </c>
      <c r="AD41" s="75">
        <v>46083</v>
      </c>
      <c r="AE41" s="806">
        <v>8.5902622964306096E+16</v>
      </c>
      <c r="AF41" s="812">
        <v>2239</v>
      </c>
      <c r="AG41" s="75">
        <v>46118</v>
      </c>
      <c r="AH41" s="806">
        <v>8.5909748614309296E+16</v>
      </c>
      <c r="AI41" s="812">
        <v>2239</v>
      </c>
      <c r="AJ41" s="75">
        <v>46146</v>
      </c>
      <c r="AK41" s="806">
        <v>994312642</v>
      </c>
      <c r="AL41" s="812">
        <v>2239</v>
      </c>
      <c r="AM41" s="75">
        <v>46175</v>
      </c>
      <c r="AN41" s="806">
        <v>315360</v>
      </c>
      <c r="AO41" s="439" t="s">
        <v>816</v>
      </c>
    </row>
    <row r="42" spans="1:41" s="876" customFormat="1" ht="13.2" x14ac:dyDescent="0.25">
      <c r="A42" s="874"/>
      <c r="B42" s="422"/>
      <c r="C42" s="423">
        <v>1</v>
      </c>
      <c r="D42" s="907" t="str">
        <f t="shared" si="0"/>
        <v>LEOBARDO CASTELLANOS VARGAS</v>
      </c>
      <c r="E42" s="948"/>
      <c r="F42" s="949"/>
      <c r="G42" s="950"/>
      <c r="H42" s="814">
        <v>2686</v>
      </c>
      <c r="I42" s="85">
        <v>45903</v>
      </c>
      <c r="J42" s="951">
        <v>892757</v>
      </c>
      <c r="K42" s="814">
        <v>2686</v>
      </c>
      <c r="L42" s="85">
        <v>45933</v>
      </c>
      <c r="M42" s="951">
        <v>787757</v>
      </c>
      <c r="N42" s="814">
        <v>2686</v>
      </c>
      <c r="O42" s="85">
        <v>45966</v>
      </c>
      <c r="P42" s="951">
        <v>680625</v>
      </c>
      <c r="Q42" s="814">
        <v>2686</v>
      </c>
      <c r="R42" s="85">
        <v>45996</v>
      </c>
      <c r="S42" s="951" t="s">
        <v>480</v>
      </c>
      <c r="T42" s="814">
        <v>2686</v>
      </c>
      <c r="U42" s="85">
        <v>46027</v>
      </c>
      <c r="V42" s="951" t="s">
        <v>480</v>
      </c>
      <c r="W42" s="952"/>
      <c r="X42" s="949"/>
      <c r="Y42" s="815"/>
      <c r="Z42" s="814">
        <v>2686</v>
      </c>
      <c r="AA42" s="85">
        <v>46057</v>
      </c>
      <c r="AB42" s="821">
        <v>829169</v>
      </c>
      <c r="AC42" s="814">
        <v>2686</v>
      </c>
      <c r="AD42" s="85">
        <v>46085</v>
      </c>
      <c r="AE42" s="821">
        <v>58791234</v>
      </c>
      <c r="AF42" s="814">
        <v>2686</v>
      </c>
      <c r="AG42" s="85">
        <v>46116</v>
      </c>
      <c r="AH42" s="821">
        <v>54896123</v>
      </c>
      <c r="AI42" s="814">
        <v>2686</v>
      </c>
      <c r="AJ42" s="85">
        <v>46140</v>
      </c>
      <c r="AK42" s="951">
        <v>427092</v>
      </c>
      <c r="AL42" s="814">
        <v>2686</v>
      </c>
      <c r="AM42" s="85">
        <v>46174</v>
      </c>
      <c r="AN42" s="821" t="s">
        <v>747</v>
      </c>
      <c r="AO42" s="876" t="s">
        <v>816</v>
      </c>
    </row>
    <row r="43" spans="1:41" ht="13.2" x14ac:dyDescent="0.25">
      <c r="A43" s="846"/>
      <c r="B43" s="296"/>
      <c r="C43" s="59"/>
      <c r="D43" s="907" t="str">
        <f t="shared" si="0"/>
        <v>IMELDA MARTINEZ RUIZ</v>
      </c>
      <c r="E43" s="802"/>
      <c r="F43" s="803"/>
      <c r="G43" s="804"/>
      <c r="H43" s="805">
        <v>2559</v>
      </c>
      <c r="I43" s="75">
        <v>45905</v>
      </c>
      <c r="J43" s="806">
        <v>82108640</v>
      </c>
      <c r="K43" s="805">
        <v>2559</v>
      </c>
      <c r="L43" s="75">
        <v>45934</v>
      </c>
      <c r="M43" s="806">
        <v>96712653</v>
      </c>
      <c r="N43" s="805">
        <v>2559</v>
      </c>
      <c r="O43" s="75">
        <v>45965</v>
      </c>
      <c r="P43" s="806">
        <v>96712653</v>
      </c>
      <c r="Q43" s="805">
        <v>2559</v>
      </c>
      <c r="R43" s="75">
        <v>45996</v>
      </c>
      <c r="S43" s="806">
        <v>99865316</v>
      </c>
      <c r="T43" s="805">
        <v>2559</v>
      </c>
      <c r="U43" s="75">
        <v>46027</v>
      </c>
      <c r="V43" s="806">
        <v>455043358</v>
      </c>
      <c r="W43" s="805">
        <v>2559</v>
      </c>
      <c r="X43" s="75">
        <v>45996</v>
      </c>
      <c r="Y43" s="806">
        <v>99865316</v>
      </c>
      <c r="Z43" s="805">
        <v>2559</v>
      </c>
      <c r="AA43" s="75">
        <v>46058</v>
      </c>
      <c r="AB43" s="809">
        <v>47747945</v>
      </c>
      <c r="AC43" s="805">
        <v>2559</v>
      </c>
      <c r="AD43" s="75">
        <v>46085</v>
      </c>
      <c r="AE43" s="809">
        <v>23642518</v>
      </c>
      <c r="AF43" s="805">
        <v>3000</v>
      </c>
      <c r="AG43" s="75">
        <v>46140</v>
      </c>
      <c r="AH43" s="809">
        <v>78559352</v>
      </c>
      <c r="AI43" s="805">
        <v>2559</v>
      </c>
      <c r="AJ43" s="75">
        <v>46147</v>
      </c>
      <c r="AK43" s="806">
        <v>99921932</v>
      </c>
      <c r="AL43" s="805">
        <v>2559</v>
      </c>
      <c r="AM43" s="75">
        <v>46178</v>
      </c>
      <c r="AN43" s="809">
        <v>68211423</v>
      </c>
      <c r="AO43" s="439" t="s">
        <v>842</v>
      </c>
    </row>
    <row r="44" spans="1:41" ht="13.2" x14ac:dyDescent="0.25">
      <c r="A44" s="846"/>
      <c r="B44" s="296"/>
      <c r="C44" s="59">
        <v>1</v>
      </c>
      <c r="D44" s="907" t="str">
        <f t="shared" si="0"/>
        <v>VLADIMIR BAILON CANCINO</v>
      </c>
      <c r="E44" s="807"/>
      <c r="F44" s="803"/>
      <c r="G44" s="804"/>
      <c r="H44" s="805">
        <v>2686</v>
      </c>
      <c r="I44" s="75">
        <v>45904</v>
      </c>
      <c r="J44" s="806">
        <v>8.5901205204324704E+16</v>
      </c>
      <c r="K44" s="805">
        <v>2688</v>
      </c>
      <c r="L44" s="75">
        <v>45932</v>
      </c>
      <c r="M44" s="806">
        <v>8.5901581354327504E+16</v>
      </c>
      <c r="N44" s="805">
        <v>2688</v>
      </c>
      <c r="O44" s="75">
        <v>45966</v>
      </c>
      <c r="P44" s="806">
        <v>8.5902199174330896E+16</v>
      </c>
      <c r="Q44" s="805">
        <v>2680</v>
      </c>
      <c r="R44" s="75">
        <v>45996</v>
      </c>
      <c r="S44" s="809">
        <v>8.5902072994333904E+16</v>
      </c>
      <c r="T44" s="805">
        <v>2680</v>
      </c>
      <c r="U44" s="75">
        <v>46027</v>
      </c>
      <c r="V44" s="809">
        <v>8.5902471214300192E+16</v>
      </c>
      <c r="W44" s="807"/>
      <c r="X44" s="803"/>
      <c r="Y44" s="808"/>
      <c r="Z44" s="805">
        <v>2680</v>
      </c>
      <c r="AA44" s="75">
        <v>46058</v>
      </c>
      <c r="AB44" s="809">
        <v>54775623</v>
      </c>
      <c r="AC44" s="805">
        <v>2680</v>
      </c>
      <c r="AD44" s="75">
        <v>46087</v>
      </c>
      <c r="AE44" s="809">
        <v>54786923</v>
      </c>
      <c r="AF44" s="805">
        <v>2790</v>
      </c>
      <c r="AG44" s="75">
        <v>46118</v>
      </c>
      <c r="AH44" s="809">
        <v>8.59075904043096E+16</v>
      </c>
      <c r="AI44" s="805">
        <v>2780</v>
      </c>
      <c r="AJ44" s="75">
        <v>46134</v>
      </c>
      <c r="AK44" s="806">
        <v>614311262</v>
      </c>
      <c r="AL44" s="805">
        <v>2780</v>
      </c>
      <c r="AM44" s="75" t="s">
        <v>759</v>
      </c>
      <c r="AN44" s="806">
        <v>944315363</v>
      </c>
      <c r="AO44" s="439" t="s">
        <v>816</v>
      </c>
    </row>
    <row r="45" spans="1:41" ht="13.2" x14ac:dyDescent="0.25">
      <c r="A45" s="846"/>
      <c r="B45" s="296"/>
      <c r="C45" s="59"/>
      <c r="D45" s="907" t="str">
        <f t="shared" si="0"/>
        <v xml:space="preserve">PEREZ CRUZ LIA KARIME </v>
      </c>
      <c r="E45" s="807"/>
      <c r="F45" s="803"/>
      <c r="G45" s="804"/>
      <c r="H45" s="805">
        <v>2879</v>
      </c>
      <c r="I45" s="75">
        <v>45897</v>
      </c>
      <c r="J45" s="813" t="s">
        <v>395</v>
      </c>
      <c r="K45" s="805">
        <v>2879</v>
      </c>
      <c r="L45" s="75">
        <v>45912</v>
      </c>
      <c r="M45" s="806">
        <v>8.5901578214325504E+16</v>
      </c>
      <c r="N45" s="805">
        <v>2879</v>
      </c>
      <c r="O45" s="75">
        <v>45912</v>
      </c>
      <c r="P45" s="806">
        <v>8.5901578214325504E+16</v>
      </c>
      <c r="Q45" s="805">
        <v>2879</v>
      </c>
      <c r="R45" s="75">
        <v>45912</v>
      </c>
      <c r="S45" s="806">
        <v>8.5901578214325504E+16</v>
      </c>
      <c r="T45" s="805">
        <v>2879</v>
      </c>
      <c r="U45" s="75">
        <v>45912</v>
      </c>
      <c r="V45" s="806">
        <v>8.5901578214325504E+16</v>
      </c>
      <c r="W45" s="807"/>
      <c r="X45" s="803"/>
      <c r="Y45" s="815"/>
      <c r="Z45" s="805">
        <v>2879</v>
      </c>
      <c r="AA45" s="75">
        <v>45912</v>
      </c>
      <c r="AB45" s="806">
        <v>8.5901578214325504E+16</v>
      </c>
      <c r="AC45" s="805">
        <v>2879</v>
      </c>
      <c r="AD45" s="75">
        <v>45912</v>
      </c>
      <c r="AE45" s="806">
        <v>8.5901578214325504E+16</v>
      </c>
      <c r="AF45" s="805">
        <v>2879</v>
      </c>
      <c r="AG45" s="75">
        <v>45912</v>
      </c>
      <c r="AH45" s="809">
        <v>8.5901578214325504E+16</v>
      </c>
      <c r="AI45" s="805">
        <v>2879</v>
      </c>
      <c r="AJ45" s="75">
        <v>45912</v>
      </c>
      <c r="AK45" s="809">
        <v>8.5901578214325504E+16</v>
      </c>
      <c r="AL45" s="805">
        <v>2879</v>
      </c>
      <c r="AM45" s="75">
        <v>46139</v>
      </c>
      <c r="AN45" s="806">
        <v>83240950</v>
      </c>
      <c r="AO45" s="439" t="s">
        <v>816</v>
      </c>
    </row>
    <row r="46" spans="1:41" ht="13.2" x14ac:dyDescent="0.25">
      <c r="A46" s="846"/>
      <c r="B46" s="296"/>
      <c r="C46" s="59"/>
      <c r="D46" s="907" t="str">
        <f t="shared" si="0"/>
        <v xml:space="preserve">CAMACHO ORDAZ JAZMIN </v>
      </c>
      <c r="E46" s="807"/>
      <c r="F46" s="803"/>
      <c r="G46" s="804"/>
      <c r="H46" s="805">
        <v>2879</v>
      </c>
      <c r="I46" s="75">
        <v>45905</v>
      </c>
      <c r="J46" s="806">
        <v>8.5906831594324496E+16</v>
      </c>
      <c r="K46" s="805">
        <v>2879</v>
      </c>
      <c r="L46" s="75">
        <v>45931</v>
      </c>
      <c r="M46" s="806">
        <v>785010</v>
      </c>
      <c r="N46" s="805">
        <v>2879</v>
      </c>
      <c r="O46" s="75">
        <v>45991</v>
      </c>
      <c r="P46" s="806">
        <v>8.5904347614330304E+16</v>
      </c>
      <c r="Q46" s="805">
        <v>2879</v>
      </c>
      <c r="R46" s="75">
        <v>45993</v>
      </c>
      <c r="S46" s="806">
        <v>483296</v>
      </c>
      <c r="T46" s="805">
        <v>2879</v>
      </c>
      <c r="U46" s="75">
        <v>46358</v>
      </c>
      <c r="V46" s="806">
        <v>8.5904671864300192E+16</v>
      </c>
      <c r="W46" s="807"/>
      <c r="X46" s="803"/>
      <c r="Y46" s="808"/>
      <c r="Z46" s="805">
        <v>2879</v>
      </c>
      <c r="AA46" s="75">
        <v>46058</v>
      </c>
      <c r="AB46" s="809">
        <v>5489712153</v>
      </c>
      <c r="AC46" s="805">
        <v>2879</v>
      </c>
      <c r="AD46" s="75">
        <v>46086</v>
      </c>
      <c r="AE46" s="809">
        <v>78964512</v>
      </c>
      <c r="AF46" s="805">
        <v>2879</v>
      </c>
      <c r="AG46" s="75">
        <v>46116</v>
      </c>
      <c r="AH46" s="809">
        <v>8.5906141674309408E+16</v>
      </c>
      <c r="AI46" s="805">
        <v>2879</v>
      </c>
      <c r="AJ46" s="75">
        <v>46145</v>
      </c>
      <c r="AK46" s="806">
        <v>764312365</v>
      </c>
      <c r="AL46" s="805">
        <v>2879</v>
      </c>
      <c r="AM46" s="75" t="s">
        <v>759</v>
      </c>
      <c r="AN46" s="806">
        <v>315366</v>
      </c>
      <c r="AO46" s="439" t="s">
        <v>816</v>
      </c>
    </row>
    <row r="47" spans="1:41" ht="13.2" x14ac:dyDescent="0.25">
      <c r="A47" s="846"/>
      <c r="B47" s="296"/>
      <c r="C47" s="59">
        <v>1</v>
      </c>
      <c r="D47" s="907" t="str">
        <f>D16</f>
        <v>CALEB SOTO ACOSTA</v>
      </c>
      <c r="E47" s="807"/>
      <c r="F47" s="803"/>
      <c r="G47" s="804"/>
      <c r="H47" s="805">
        <v>2879</v>
      </c>
      <c r="I47" s="75">
        <v>45904</v>
      </c>
      <c r="J47" s="806">
        <v>80401852</v>
      </c>
      <c r="K47" s="805">
        <v>2879</v>
      </c>
      <c r="L47" s="75">
        <v>45932</v>
      </c>
      <c r="M47" s="806">
        <v>41227896</v>
      </c>
      <c r="N47" s="805">
        <v>2879</v>
      </c>
      <c r="O47" s="75">
        <v>45966</v>
      </c>
      <c r="P47" s="806">
        <v>54512067</v>
      </c>
      <c r="Q47" s="805">
        <v>2879</v>
      </c>
      <c r="R47" s="75">
        <v>45996</v>
      </c>
      <c r="S47" s="806">
        <v>2947134</v>
      </c>
      <c r="T47" s="805">
        <v>2879</v>
      </c>
      <c r="U47" s="75">
        <v>46027</v>
      </c>
      <c r="V47" s="809">
        <v>29150743</v>
      </c>
      <c r="W47" s="807"/>
      <c r="X47" s="803"/>
      <c r="Y47" s="808"/>
      <c r="Z47" s="805">
        <v>2879</v>
      </c>
      <c r="AA47" s="75">
        <v>46057</v>
      </c>
      <c r="AB47" s="809">
        <v>122274</v>
      </c>
      <c r="AC47" s="805">
        <v>2879</v>
      </c>
      <c r="AD47" s="75">
        <v>46085</v>
      </c>
      <c r="AE47" s="809">
        <v>89756412</v>
      </c>
      <c r="AF47" s="805">
        <v>2879</v>
      </c>
      <c r="AG47" s="75">
        <v>46085</v>
      </c>
      <c r="AH47" s="809">
        <v>15489763</v>
      </c>
      <c r="AI47" s="805">
        <v>2879</v>
      </c>
      <c r="AJ47" s="75">
        <v>46147</v>
      </c>
      <c r="AK47" s="806">
        <v>236935</v>
      </c>
      <c r="AL47" s="805">
        <v>2879</v>
      </c>
      <c r="AM47" s="75" t="s">
        <v>781</v>
      </c>
      <c r="AN47" s="809" t="s">
        <v>782</v>
      </c>
      <c r="AO47" s="439" t="s">
        <v>816</v>
      </c>
    </row>
    <row r="48" spans="1:41" ht="13.2" x14ac:dyDescent="0.25">
      <c r="A48" s="846">
        <v>10</v>
      </c>
      <c r="B48" s="296"/>
      <c r="C48" s="59"/>
      <c r="D48" s="907" t="str">
        <f>D17</f>
        <v>NAOMI CARRILLO GONZALEZ</v>
      </c>
      <c r="E48" s="807"/>
      <c r="F48" s="803"/>
      <c r="G48" s="804"/>
      <c r="H48" s="805">
        <v>2879</v>
      </c>
      <c r="I48" s="75">
        <v>45813</v>
      </c>
      <c r="J48" s="806">
        <v>761042</v>
      </c>
      <c r="K48" s="805">
        <v>2879</v>
      </c>
      <c r="L48" s="75">
        <v>45932</v>
      </c>
      <c r="M48" s="806">
        <v>8.5900178423432704E+17</v>
      </c>
      <c r="N48" s="805">
        <v>2879</v>
      </c>
      <c r="O48" s="75">
        <v>45966</v>
      </c>
      <c r="P48" s="806">
        <v>8.5905397684330896E+16</v>
      </c>
      <c r="Q48" s="805">
        <v>2879</v>
      </c>
      <c r="R48" s="75">
        <v>45993</v>
      </c>
      <c r="S48" s="806">
        <v>8.59040379743336E+16</v>
      </c>
      <c r="T48" s="805">
        <v>2879</v>
      </c>
      <c r="U48" s="75">
        <v>46037</v>
      </c>
      <c r="V48" s="809">
        <v>8.5901979474301504E+16</v>
      </c>
      <c r="W48" s="807"/>
      <c r="X48" s="803"/>
      <c r="Y48" s="808"/>
      <c r="Z48" s="805">
        <v>2879</v>
      </c>
      <c r="AA48" s="75">
        <v>46057</v>
      </c>
      <c r="AB48" s="809" t="s">
        <v>438</v>
      </c>
      <c r="AC48" s="805">
        <v>2879</v>
      </c>
      <c r="AD48" s="75">
        <v>46085</v>
      </c>
      <c r="AE48" s="809" t="s">
        <v>439</v>
      </c>
      <c r="AF48" s="805">
        <v>2879</v>
      </c>
      <c r="AG48" s="75">
        <v>46113</v>
      </c>
      <c r="AH48" s="809">
        <v>8.5905206464309104E+16</v>
      </c>
      <c r="AI48" s="805">
        <v>2879</v>
      </c>
      <c r="AJ48" s="75">
        <v>46146</v>
      </c>
      <c r="AK48" s="806">
        <v>384312469</v>
      </c>
      <c r="AL48" s="805">
        <v>2879</v>
      </c>
      <c r="AM48" s="75">
        <v>46179</v>
      </c>
      <c r="AN48" s="809">
        <v>434315661</v>
      </c>
      <c r="AO48" s="439" t="s">
        <v>816</v>
      </c>
    </row>
    <row r="49" spans="1:41" ht="13.2" x14ac:dyDescent="0.25">
      <c r="A49" s="846"/>
      <c r="B49" s="296"/>
      <c r="C49" s="241"/>
      <c r="D49" s="907" t="str">
        <f>D18</f>
        <v xml:space="preserve">CARMEN GABRIELA DE LEÓN REYES </v>
      </c>
      <c r="E49" s="807"/>
      <c r="F49" s="803"/>
      <c r="G49" s="804"/>
      <c r="H49" s="805">
        <v>3147</v>
      </c>
      <c r="I49" s="75">
        <v>45905</v>
      </c>
      <c r="J49" s="806">
        <v>78022057</v>
      </c>
      <c r="K49" s="805">
        <v>3147</v>
      </c>
      <c r="L49" s="75">
        <v>45932</v>
      </c>
      <c r="M49" s="806">
        <v>39650453</v>
      </c>
      <c r="N49" s="805">
        <v>3145</v>
      </c>
      <c r="O49" s="75">
        <v>45965</v>
      </c>
      <c r="P49" s="806">
        <v>79228037</v>
      </c>
      <c r="Q49" s="805">
        <v>3145</v>
      </c>
      <c r="R49" s="75">
        <v>46001</v>
      </c>
      <c r="S49" s="806">
        <v>59825862</v>
      </c>
      <c r="T49" s="805">
        <v>3145</v>
      </c>
      <c r="U49" s="75">
        <v>46029</v>
      </c>
      <c r="V49" s="809">
        <v>48346976</v>
      </c>
      <c r="W49" s="807"/>
      <c r="X49" s="803"/>
      <c r="Y49" s="808"/>
      <c r="Z49" s="805">
        <v>3145</v>
      </c>
      <c r="AA49" s="75">
        <v>46061</v>
      </c>
      <c r="AB49" s="809">
        <v>68510723</v>
      </c>
      <c r="AC49" s="805">
        <v>3145</v>
      </c>
      <c r="AD49" s="75">
        <v>46084</v>
      </c>
      <c r="AE49" s="809">
        <v>12463978</v>
      </c>
      <c r="AF49" s="805">
        <v>3145</v>
      </c>
      <c r="AG49" s="75">
        <v>46112</v>
      </c>
      <c r="AH49" s="809">
        <v>5736890</v>
      </c>
      <c r="AI49" s="805">
        <v>3145</v>
      </c>
      <c r="AJ49" s="75">
        <v>46142</v>
      </c>
      <c r="AK49" s="806">
        <v>83325607</v>
      </c>
      <c r="AL49" s="805">
        <v>3145</v>
      </c>
      <c r="AM49" s="75">
        <v>46174</v>
      </c>
      <c r="AN49" s="806">
        <v>96702243</v>
      </c>
      <c r="AO49" s="439" t="s">
        <v>743</v>
      </c>
    </row>
    <row r="50" spans="1:41" ht="13.2" x14ac:dyDescent="0.25">
      <c r="A50" s="846"/>
      <c r="B50" s="296"/>
      <c r="C50" s="59">
        <v>1</v>
      </c>
      <c r="D50" s="907" t="str">
        <f>D19</f>
        <v>ALEJANDRO DIAZ MORALES</v>
      </c>
      <c r="E50" s="807"/>
      <c r="F50" s="803"/>
      <c r="G50" s="804"/>
      <c r="H50" s="805">
        <v>2623</v>
      </c>
      <c r="I50" s="75">
        <v>45904</v>
      </c>
      <c r="J50" s="806">
        <v>141196</v>
      </c>
      <c r="K50" s="805">
        <v>2623</v>
      </c>
      <c r="L50" s="75">
        <v>45934</v>
      </c>
      <c r="M50" s="806">
        <v>725261</v>
      </c>
      <c r="N50" s="805">
        <v>3145</v>
      </c>
      <c r="O50" s="75">
        <v>45966</v>
      </c>
      <c r="P50" s="806" t="s">
        <v>72</v>
      </c>
      <c r="Q50" s="805">
        <v>3145</v>
      </c>
      <c r="R50" s="75">
        <v>45995</v>
      </c>
      <c r="S50" s="806">
        <v>743304</v>
      </c>
      <c r="T50" s="805">
        <v>3145</v>
      </c>
      <c r="U50" s="75">
        <v>46026</v>
      </c>
      <c r="V50" s="809">
        <v>840025</v>
      </c>
      <c r="W50" s="805">
        <v>3145</v>
      </c>
      <c r="X50" s="75">
        <v>46026</v>
      </c>
      <c r="Y50" s="806">
        <v>840025</v>
      </c>
      <c r="Z50" s="805">
        <v>2623</v>
      </c>
      <c r="AA50" s="75">
        <v>46059</v>
      </c>
      <c r="AB50" s="809">
        <v>58796421</v>
      </c>
      <c r="AC50" s="805">
        <v>2623</v>
      </c>
      <c r="AD50" s="75">
        <v>46086</v>
      </c>
      <c r="AE50" s="809">
        <v>21563470</v>
      </c>
      <c r="AF50" s="805">
        <v>3023</v>
      </c>
      <c r="AG50" s="75">
        <v>46142</v>
      </c>
      <c r="AH50" s="809" t="s">
        <v>518</v>
      </c>
      <c r="AI50" s="805">
        <v>3023</v>
      </c>
      <c r="AJ50" s="75">
        <v>46163</v>
      </c>
      <c r="AK50" s="806" t="s">
        <v>701</v>
      </c>
      <c r="AL50" s="805">
        <v>2623</v>
      </c>
      <c r="AM50" s="75" t="s">
        <v>700</v>
      </c>
      <c r="AN50" s="809" t="s">
        <v>702</v>
      </c>
      <c r="AO50" s="439" t="s">
        <v>743</v>
      </c>
    </row>
    <row r="51" spans="1:41" ht="13.2" x14ac:dyDescent="0.25">
      <c r="A51" s="846"/>
      <c r="B51" s="296"/>
      <c r="C51" s="59">
        <v>1</v>
      </c>
      <c r="D51" s="1021" t="str">
        <f>D20</f>
        <v>DEREK URIEL MORALES DOMINGUEZ</v>
      </c>
      <c r="E51" s="805">
        <v>1750</v>
      </c>
      <c r="F51" s="75">
        <v>45877</v>
      </c>
      <c r="G51" s="813">
        <v>5612886</v>
      </c>
      <c r="H51" s="805">
        <v>1750</v>
      </c>
      <c r="I51" s="75">
        <v>45909</v>
      </c>
      <c r="J51" s="806">
        <v>4074700</v>
      </c>
      <c r="K51" s="805">
        <v>1750</v>
      </c>
      <c r="L51" s="75">
        <v>45935</v>
      </c>
      <c r="M51" s="806">
        <v>2804221</v>
      </c>
      <c r="N51" s="805">
        <v>1750</v>
      </c>
      <c r="O51" s="75">
        <v>45970</v>
      </c>
      <c r="P51" s="806">
        <v>7955124</v>
      </c>
      <c r="Q51" s="805">
        <v>1750</v>
      </c>
      <c r="R51" s="75">
        <v>45996</v>
      </c>
      <c r="S51" s="806">
        <v>3480261</v>
      </c>
      <c r="T51" s="805">
        <v>1750</v>
      </c>
      <c r="U51" s="75">
        <v>46027</v>
      </c>
      <c r="V51" s="809">
        <v>7745561</v>
      </c>
      <c r="W51" s="807"/>
      <c r="X51" s="803"/>
      <c r="Y51" s="820"/>
      <c r="Z51" s="805">
        <v>1750</v>
      </c>
      <c r="AA51" s="75">
        <v>46058</v>
      </c>
      <c r="AB51" s="809">
        <v>8103176</v>
      </c>
      <c r="AC51" s="805">
        <v>1750</v>
      </c>
      <c r="AD51" s="75">
        <v>46085</v>
      </c>
      <c r="AE51" s="809">
        <v>87964512</v>
      </c>
      <c r="AF51" s="805">
        <v>1750</v>
      </c>
      <c r="AG51" s="75">
        <v>46124</v>
      </c>
      <c r="AH51" s="809">
        <v>4802721</v>
      </c>
      <c r="AI51" s="805">
        <v>1750</v>
      </c>
      <c r="AJ51" s="75" t="s">
        <v>683</v>
      </c>
      <c r="AK51" s="806">
        <v>2520305</v>
      </c>
      <c r="AL51" s="805">
        <v>1750</v>
      </c>
      <c r="AM51" s="75">
        <v>46182</v>
      </c>
      <c r="AN51" s="809">
        <v>215590</v>
      </c>
      <c r="AO51" s="439" t="s">
        <v>816</v>
      </c>
    </row>
    <row r="52" spans="1:41" ht="13.2" x14ac:dyDescent="0.25">
      <c r="A52" s="846"/>
      <c r="B52" s="296"/>
      <c r="C52" s="59">
        <v>1</v>
      </c>
      <c r="D52" s="907" t="str">
        <f t="shared" ref="D52:D56" si="1">D21</f>
        <v xml:space="preserve">GAEL JUAREZ FUENTES </v>
      </c>
      <c r="E52" s="807"/>
      <c r="F52" s="803"/>
      <c r="G52" s="804"/>
      <c r="H52" s="805">
        <v>2399.25</v>
      </c>
      <c r="I52" s="75">
        <v>45897</v>
      </c>
      <c r="J52" s="806">
        <v>280825</v>
      </c>
      <c r="K52" s="805">
        <v>2399</v>
      </c>
      <c r="L52" s="75">
        <v>45930</v>
      </c>
      <c r="M52" s="806">
        <v>8.5904538384327296E+16</v>
      </c>
      <c r="N52" s="805">
        <v>2399</v>
      </c>
      <c r="O52" s="75">
        <v>45930</v>
      </c>
      <c r="P52" s="806">
        <v>8.5904538384327296E+16</v>
      </c>
      <c r="Q52" s="805">
        <v>2399</v>
      </c>
      <c r="R52" s="75">
        <v>45930</v>
      </c>
      <c r="S52" s="806">
        <v>8.5904538384327296E+16</v>
      </c>
      <c r="T52" s="805">
        <v>2399</v>
      </c>
      <c r="U52" s="75">
        <v>46027</v>
      </c>
      <c r="V52" s="809">
        <v>8.5908669094300496E+16</v>
      </c>
      <c r="W52" s="807">
        <v>2399.25</v>
      </c>
      <c r="X52" s="803">
        <v>46176</v>
      </c>
      <c r="Y52" s="808">
        <v>315461</v>
      </c>
      <c r="Z52" s="805">
        <v>2399.25</v>
      </c>
      <c r="AA52" s="75">
        <v>46027</v>
      </c>
      <c r="AB52" s="809">
        <v>8.5908669094300496E+16</v>
      </c>
      <c r="AC52" s="805">
        <v>2399.25</v>
      </c>
      <c r="AD52" s="75">
        <v>46027</v>
      </c>
      <c r="AE52" s="809">
        <v>8.5908669094300496E+16</v>
      </c>
      <c r="AF52" s="805">
        <v>2399.25</v>
      </c>
      <c r="AG52" s="75">
        <v>46113</v>
      </c>
      <c r="AH52" s="809">
        <v>8.5907003324309104E+16</v>
      </c>
      <c r="AI52" s="805">
        <v>2399.25</v>
      </c>
      <c r="AJ52" s="75">
        <v>46113</v>
      </c>
      <c r="AK52" s="806">
        <v>8.5907003324309104E+16</v>
      </c>
      <c r="AL52" s="805">
        <v>4798.5</v>
      </c>
      <c r="AM52" s="75">
        <v>46176</v>
      </c>
      <c r="AN52" s="809">
        <v>315461</v>
      </c>
      <c r="AO52" s="439" t="s">
        <v>816</v>
      </c>
    </row>
    <row r="53" spans="1:41" ht="13.2" x14ac:dyDescent="0.25">
      <c r="A53" s="846"/>
      <c r="B53" s="296"/>
      <c r="C53" s="59"/>
      <c r="D53" s="953" t="str">
        <f t="shared" si="1"/>
        <v>VALERIA MORENO GERMAN</v>
      </c>
      <c r="E53" s="807"/>
      <c r="F53" s="803"/>
      <c r="G53" s="804"/>
      <c r="H53" s="805">
        <v>2200</v>
      </c>
      <c r="I53" s="75">
        <v>45922</v>
      </c>
      <c r="J53" s="809">
        <v>190925</v>
      </c>
      <c r="K53" s="805">
        <v>2200</v>
      </c>
      <c r="L53" s="75">
        <v>45935</v>
      </c>
      <c r="M53" s="809">
        <v>8.5908254440329408E+16</v>
      </c>
      <c r="N53" s="805">
        <v>2200</v>
      </c>
      <c r="O53" s="75">
        <v>45964</v>
      </c>
      <c r="P53" s="809">
        <v>879562144367</v>
      </c>
      <c r="Q53" s="805">
        <v>2200</v>
      </c>
      <c r="R53" s="75">
        <v>45997</v>
      </c>
      <c r="S53" s="809">
        <v>8795486321</v>
      </c>
      <c r="T53" s="805">
        <v>2200</v>
      </c>
      <c r="U53" s="75">
        <v>46084</v>
      </c>
      <c r="V53" s="809">
        <v>2774102</v>
      </c>
      <c r="W53" s="807"/>
      <c r="X53" s="803"/>
      <c r="Y53" s="808"/>
      <c r="Z53" s="805">
        <v>2200</v>
      </c>
      <c r="AA53" s="75">
        <v>46084</v>
      </c>
      <c r="AB53" s="809">
        <v>2774102</v>
      </c>
      <c r="AC53" s="805">
        <v>2200</v>
      </c>
      <c r="AD53" s="75">
        <v>46174</v>
      </c>
      <c r="AE53" s="809">
        <v>7039631</v>
      </c>
      <c r="AF53" s="805"/>
      <c r="AG53" s="75"/>
      <c r="AH53" s="809"/>
      <c r="AI53" s="805"/>
      <c r="AJ53" s="75"/>
      <c r="AK53" s="806"/>
      <c r="AL53" s="805"/>
      <c r="AM53" s="75"/>
      <c r="AN53" s="811" t="s">
        <v>713</v>
      </c>
      <c r="AO53" s="1022" t="s">
        <v>805</v>
      </c>
    </row>
    <row r="54" spans="1:41" ht="13.2" x14ac:dyDescent="0.25">
      <c r="A54" s="846"/>
      <c r="B54" s="296"/>
      <c r="C54" s="59">
        <v>1</v>
      </c>
      <c r="D54" s="1114" t="str">
        <f t="shared" si="1"/>
        <v xml:space="preserve">RODRIGO EMMANUEL SANCHEZ DOMINGUEZ </v>
      </c>
      <c r="E54" s="807"/>
      <c r="F54" s="803"/>
      <c r="G54" s="804"/>
      <c r="H54" s="805">
        <v>2395</v>
      </c>
      <c r="I54" s="75">
        <v>45910</v>
      </c>
      <c r="J54" s="809" t="s">
        <v>463</v>
      </c>
      <c r="K54" s="805">
        <v>2395</v>
      </c>
      <c r="L54" s="75">
        <v>45935</v>
      </c>
      <c r="M54" s="806" t="s">
        <v>463</v>
      </c>
      <c r="N54" s="805">
        <v>2795</v>
      </c>
      <c r="O54" s="75">
        <v>46056</v>
      </c>
      <c r="P54" s="806">
        <v>260204</v>
      </c>
      <c r="Q54" s="805">
        <v>2795</v>
      </c>
      <c r="R54" s="75">
        <v>46056</v>
      </c>
      <c r="S54" s="809">
        <v>260204</v>
      </c>
      <c r="T54" s="807"/>
      <c r="U54" s="803"/>
      <c r="V54" s="954"/>
      <c r="W54" s="807"/>
      <c r="X54" s="803"/>
      <c r="Y54" s="808"/>
      <c r="Z54" s="805">
        <v>2795</v>
      </c>
      <c r="AA54" s="75">
        <v>46138</v>
      </c>
      <c r="AB54" s="809">
        <v>260426</v>
      </c>
      <c r="AC54" s="805">
        <v>2795</v>
      </c>
      <c r="AD54" s="75">
        <v>46138</v>
      </c>
      <c r="AE54" s="809">
        <v>260426</v>
      </c>
      <c r="AF54" s="805">
        <v>2795</v>
      </c>
      <c r="AG54" s="75">
        <v>46183</v>
      </c>
      <c r="AH54" s="809">
        <v>405326422</v>
      </c>
      <c r="AI54" s="805">
        <v>2795</v>
      </c>
      <c r="AJ54" s="75">
        <v>46183</v>
      </c>
      <c r="AK54" s="809">
        <v>405326422</v>
      </c>
      <c r="AL54" s="805"/>
      <c r="AM54" s="75"/>
      <c r="AN54" s="809"/>
      <c r="AO54" s="1022" t="s">
        <v>806</v>
      </c>
    </row>
    <row r="55" spans="1:41" s="1078" customFormat="1" ht="13.2" x14ac:dyDescent="0.25">
      <c r="A55" s="1068"/>
      <c r="B55" s="1069">
        <v>1</v>
      </c>
      <c r="C55" s="1070" t="s">
        <v>789</v>
      </c>
      <c r="D55" s="1067" t="str">
        <f t="shared" si="1"/>
        <v xml:space="preserve">JOSEPH DAVID CONTRERAS PALACIOS </v>
      </c>
      <c r="E55" s="1071"/>
      <c r="F55" s="1072"/>
      <c r="G55" s="1073"/>
      <c r="H55" s="1074">
        <v>2230</v>
      </c>
      <c r="I55" s="1075">
        <v>45914</v>
      </c>
      <c r="J55" s="1076">
        <v>495753</v>
      </c>
      <c r="K55" s="1074">
        <v>2230</v>
      </c>
      <c r="L55" s="1075">
        <v>45944</v>
      </c>
      <c r="M55" s="1077">
        <v>495753</v>
      </c>
      <c r="N55" s="1074">
        <v>2230</v>
      </c>
      <c r="O55" s="1075">
        <v>45944</v>
      </c>
      <c r="P55" s="1077">
        <v>495753</v>
      </c>
      <c r="Q55" s="1074">
        <v>2230</v>
      </c>
      <c r="R55" s="1075">
        <v>45944</v>
      </c>
      <c r="S55" s="1077">
        <v>495753</v>
      </c>
      <c r="T55" s="1074">
        <v>2230</v>
      </c>
      <c r="U55" s="1075">
        <v>45944</v>
      </c>
      <c r="V55" s="1077">
        <v>495753</v>
      </c>
      <c r="W55" s="1074">
        <v>2230</v>
      </c>
      <c r="X55" s="1075">
        <v>45944</v>
      </c>
      <c r="Y55" s="1077">
        <v>495753</v>
      </c>
      <c r="Z55" s="1074">
        <v>2230</v>
      </c>
      <c r="AA55" s="1075">
        <v>45944</v>
      </c>
      <c r="AB55" s="1077">
        <v>495753</v>
      </c>
      <c r="AC55" s="1074">
        <v>2230</v>
      </c>
      <c r="AD55" s="1075">
        <v>45944</v>
      </c>
      <c r="AE55" s="1077">
        <v>495753</v>
      </c>
      <c r="AF55" s="1074">
        <v>2230</v>
      </c>
      <c r="AG55" s="1075">
        <v>45944</v>
      </c>
      <c r="AH55" s="1076">
        <v>495753</v>
      </c>
      <c r="AI55" s="1074"/>
      <c r="AJ55" s="1075"/>
      <c r="AK55" s="1077"/>
      <c r="AL55" s="1074"/>
      <c r="AM55" s="1075"/>
      <c r="AN55" s="1076"/>
    </row>
    <row r="56" spans="1:41" ht="13.2" x14ac:dyDescent="0.25">
      <c r="A56" s="846"/>
      <c r="B56" s="341"/>
      <c r="C56" s="311">
        <v>1</v>
      </c>
      <c r="D56" s="907" t="str">
        <f t="shared" si="1"/>
        <v xml:space="preserve">IKER TRISTAN ROMERO AVILA </v>
      </c>
      <c r="E56" s="834"/>
      <c r="F56" s="835"/>
      <c r="G56" s="955"/>
      <c r="H56" s="826">
        <v>2690</v>
      </c>
      <c r="I56" s="827">
        <v>45904</v>
      </c>
      <c r="J56" s="829">
        <v>15075614</v>
      </c>
      <c r="K56" s="826">
        <v>3147</v>
      </c>
      <c r="L56" s="827">
        <v>45939</v>
      </c>
      <c r="M56" s="830">
        <v>34550253</v>
      </c>
      <c r="N56" s="826">
        <v>3147</v>
      </c>
      <c r="O56" s="827">
        <v>45964</v>
      </c>
      <c r="P56" s="830">
        <v>73745420</v>
      </c>
      <c r="Q56" s="826">
        <v>3147</v>
      </c>
      <c r="R56" s="827">
        <v>45994</v>
      </c>
      <c r="S56" s="829">
        <v>23416460</v>
      </c>
      <c r="T56" s="826">
        <v>3147</v>
      </c>
      <c r="U56" s="827">
        <v>46038</v>
      </c>
      <c r="V56" s="829">
        <v>80265428</v>
      </c>
      <c r="W56" s="834"/>
      <c r="X56" s="835"/>
      <c r="Y56" s="836"/>
      <c r="Z56" s="826">
        <v>3147</v>
      </c>
      <c r="AA56" s="827">
        <v>46072</v>
      </c>
      <c r="AB56" s="829">
        <v>52237867</v>
      </c>
      <c r="AC56" s="826">
        <v>3147</v>
      </c>
      <c r="AD56" s="827">
        <v>46099</v>
      </c>
      <c r="AE56" s="829">
        <v>54897632</v>
      </c>
      <c r="AF56" s="826">
        <v>3147</v>
      </c>
      <c r="AG56" s="827">
        <v>46099</v>
      </c>
      <c r="AH56" s="829">
        <v>54897632</v>
      </c>
      <c r="AI56" s="826">
        <v>3147</v>
      </c>
      <c r="AJ56" s="827">
        <v>46135</v>
      </c>
      <c r="AK56" s="830">
        <v>64109215</v>
      </c>
      <c r="AL56" s="826">
        <v>3147</v>
      </c>
      <c r="AM56" s="827">
        <v>46169</v>
      </c>
      <c r="AN56" s="830">
        <v>67746777</v>
      </c>
      <c r="AO56" s="439" t="s">
        <v>823</v>
      </c>
    </row>
    <row r="57" spans="1:41" ht="13.2" x14ac:dyDescent="0.25">
      <c r="A57" s="846"/>
      <c r="B57" s="341"/>
      <c r="C57" s="311"/>
      <c r="D57" s="907"/>
      <c r="E57" s="826"/>
      <c r="F57" s="827"/>
      <c r="G57" s="828"/>
      <c r="H57" s="826">
        <v>39370</v>
      </c>
      <c r="I57" s="827"/>
      <c r="J57" s="829"/>
      <c r="K57" s="826"/>
      <c r="L57" s="827"/>
      <c r="M57" s="830"/>
      <c r="N57" s="956"/>
      <c r="O57" s="827"/>
      <c r="P57" s="830"/>
      <c r="Q57" s="826"/>
      <c r="R57" s="827"/>
      <c r="S57" s="829"/>
      <c r="T57" s="826"/>
      <c r="U57" s="827"/>
      <c r="V57" s="829"/>
      <c r="W57" s="826"/>
      <c r="X57" s="827"/>
      <c r="Y57" s="830"/>
      <c r="Z57" s="826"/>
      <c r="AA57" s="827"/>
      <c r="AB57" s="829"/>
      <c r="AC57" s="826"/>
      <c r="AD57" s="827"/>
      <c r="AE57" s="829"/>
      <c r="AF57" s="826"/>
      <c r="AG57" s="827"/>
      <c r="AH57" s="829"/>
      <c r="AI57" s="826"/>
      <c r="AJ57" s="827"/>
      <c r="AK57" s="830"/>
      <c r="AL57" s="826"/>
      <c r="AM57" s="827"/>
      <c r="AN57" s="829"/>
    </row>
    <row r="58" spans="1:41" ht="13.2" x14ac:dyDescent="0.25">
      <c r="A58" s="846"/>
      <c r="B58" s="341"/>
      <c r="C58" s="311"/>
      <c r="D58" s="957"/>
      <c r="E58" s="826"/>
      <c r="F58" s="827"/>
      <c r="G58" s="828"/>
      <c r="H58" s="826">
        <v>47428</v>
      </c>
      <c r="I58" s="827"/>
      <c r="J58" s="829"/>
      <c r="K58" s="826"/>
      <c r="L58" s="827"/>
      <c r="M58" s="830"/>
      <c r="N58" s="956"/>
      <c r="O58" s="827"/>
      <c r="P58" s="830"/>
      <c r="Q58" s="826"/>
      <c r="R58" s="827"/>
      <c r="S58" s="829"/>
      <c r="T58" s="826"/>
      <c r="U58" s="827"/>
      <c r="V58" s="829"/>
      <c r="W58" s="826"/>
      <c r="X58" s="827"/>
      <c r="Y58" s="830"/>
      <c r="Z58" s="826"/>
      <c r="AA58" s="827"/>
      <c r="AB58" s="829"/>
      <c r="AC58" s="826"/>
      <c r="AD58" s="827"/>
      <c r="AE58" s="829"/>
      <c r="AF58" s="826"/>
      <c r="AG58" s="827"/>
      <c r="AH58" s="829"/>
      <c r="AI58" s="826"/>
      <c r="AJ58" s="827"/>
      <c r="AK58" s="830"/>
      <c r="AL58" s="826"/>
      <c r="AM58" s="827"/>
      <c r="AN58" s="829"/>
    </row>
    <row r="59" spans="1:41" ht="13.2" x14ac:dyDescent="0.25">
      <c r="A59" s="846"/>
      <c r="B59" s="341"/>
      <c r="C59" s="311"/>
      <c r="D59" s="958"/>
      <c r="E59" s="826"/>
      <c r="F59" s="827"/>
      <c r="G59" s="828"/>
      <c r="H59" s="826"/>
      <c r="I59" s="827"/>
      <c r="J59" s="829"/>
      <c r="K59" s="826"/>
      <c r="L59" s="827"/>
      <c r="M59" s="830"/>
      <c r="N59" s="956"/>
      <c r="O59" s="827"/>
      <c r="P59" s="830"/>
      <c r="Q59" s="826"/>
      <c r="R59" s="827"/>
      <c r="S59" s="829"/>
      <c r="T59" s="826"/>
      <c r="U59" s="827"/>
      <c r="V59" s="829"/>
      <c r="W59" s="826"/>
      <c r="X59" s="827"/>
      <c r="Y59" s="830"/>
      <c r="Z59" s="826"/>
      <c r="AA59" s="827"/>
      <c r="AB59" s="829"/>
      <c r="AC59" s="826"/>
      <c r="AD59" s="827"/>
      <c r="AE59" s="829"/>
      <c r="AF59" s="826"/>
      <c r="AG59" s="827"/>
      <c r="AH59" s="829"/>
      <c r="AI59" s="826"/>
      <c r="AJ59" s="827"/>
      <c r="AK59" s="830"/>
      <c r="AL59" s="826"/>
      <c r="AM59" s="827"/>
      <c r="AN59" s="829"/>
    </row>
    <row r="60" spans="1:41" ht="13.8" thickBot="1" x14ac:dyDescent="0.3">
      <c r="A60" s="846"/>
      <c r="B60" s="297"/>
      <c r="C60" s="61"/>
      <c r="D60" s="238"/>
      <c r="E60" s="840"/>
      <c r="F60" s="841"/>
      <c r="G60" s="842"/>
      <c r="H60" s="840"/>
      <c r="I60" s="841"/>
      <c r="J60" s="843"/>
      <c r="K60" s="840"/>
      <c r="L60" s="841"/>
      <c r="M60" s="843"/>
      <c r="N60" s="959"/>
      <c r="O60" s="841"/>
      <c r="P60" s="843"/>
      <c r="Q60" s="840"/>
      <c r="R60" s="841"/>
      <c r="S60" s="844"/>
      <c r="T60" s="840"/>
      <c r="U60" s="841"/>
      <c r="V60" s="843"/>
      <c r="W60" s="840"/>
      <c r="X60" s="841"/>
      <c r="Y60" s="843"/>
      <c r="Z60" s="840"/>
      <c r="AA60" s="841"/>
      <c r="AB60" s="844"/>
      <c r="AC60" s="840"/>
      <c r="AD60" s="841"/>
      <c r="AE60" s="844"/>
      <c r="AF60" s="840"/>
      <c r="AG60" s="841"/>
      <c r="AH60" s="844"/>
      <c r="AI60" s="840"/>
      <c r="AJ60" s="841"/>
      <c r="AK60" s="843"/>
      <c r="AL60" s="840"/>
      <c r="AM60" s="841"/>
      <c r="AN60" s="844"/>
    </row>
    <row r="61" spans="1:41" x14ac:dyDescent="0.25">
      <c r="H61" s="439">
        <v>2686</v>
      </c>
    </row>
  </sheetData>
  <mergeCells count="21">
    <mergeCell ref="F1:Q1"/>
    <mergeCell ref="S1:U1"/>
    <mergeCell ref="F2:Q2"/>
    <mergeCell ref="S2:U2"/>
    <mergeCell ref="F3:Q3"/>
    <mergeCell ref="S3:U3"/>
    <mergeCell ref="F4:Q4"/>
    <mergeCell ref="S4:U4"/>
    <mergeCell ref="B36:AN36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K37"/>
    <mergeCell ref="AL37:AN37"/>
  </mergeCells>
  <conditionalFormatting sqref="E39:AN60">
    <cfRule type="notContainsBlanks" dxfId="13" priority="2">
      <formula>LEN(TRIM(E39))&gt;0</formula>
    </cfRule>
  </conditionalFormatting>
  <conditionalFormatting sqref="F8:T18 F19:H19 L19:T19 F20:T31">
    <cfRule type="notContainsBlanks" dxfId="12" priority="3">
      <formula>LEN(TRIM(F8))&gt;0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66"/>
  <sheetViews>
    <sheetView zoomScale="90" zoomScaleNormal="90" workbookViewId="0">
      <pane xSplit="4" ySplit="1" topLeftCell="E29" activePane="bottomRight" state="frozen"/>
      <selection pane="topRight" activeCell="E1" sqref="E1"/>
      <selection pane="bottomLeft" activeCell="A2" sqref="A2"/>
      <selection pane="bottomRight" activeCell="AG51" sqref="AG51"/>
    </sheetView>
  </sheetViews>
  <sheetFormatPr baseColWidth="10" defaultColWidth="11.44140625" defaultRowHeight="14.4" x14ac:dyDescent="0.3"/>
  <cols>
    <col min="1" max="1" width="13.21875" bestFit="1" customWidth="1"/>
    <col min="2" max="2" width="14.6640625" customWidth="1"/>
    <col min="3" max="3" width="14.77734375" customWidth="1"/>
    <col min="4" max="4" width="41.33203125" bestFit="1" customWidth="1"/>
    <col min="5" max="5" width="16.5546875" style="95" customWidth="1"/>
    <col min="6" max="6" width="12" customWidth="1"/>
    <col min="7" max="7" width="13.109375" customWidth="1"/>
    <col min="8" max="8" width="13" style="274" customWidth="1"/>
    <col min="9" max="9" width="11.88671875" customWidth="1"/>
    <col min="10" max="10" width="21.21875" customWidth="1"/>
    <col min="11" max="11" width="28.77734375" customWidth="1"/>
    <col min="12" max="12" width="11.88671875" customWidth="1"/>
    <col min="13" max="13" width="21.21875" customWidth="1"/>
    <col min="14" max="14" width="15.109375" customWidth="1"/>
    <col min="15" max="15" width="13.77734375" customWidth="1"/>
    <col min="16" max="16" width="12.21875" customWidth="1"/>
    <col min="17" max="17" width="14.88671875" customWidth="1"/>
    <col min="18" max="18" width="14.109375" customWidth="1"/>
    <col min="19" max="19" width="11.88671875" customWidth="1"/>
    <col min="20" max="20" width="19.109375" customWidth="1"/>
    <col min="21" max="21" width="11.88671875" customWidth="1"/>
    <col min="22" max="22" width="12.77734375" customWidth="1"/>
    <col min="23" max="23" width="11.44140625" customWidth="1"/>
    <col min="24" max="24" width="11.88671875" customWidth="1"/>
    <col min="25" max="25" width="11.21875" customWidth="1"/>
    <col min="26" max="26" width="13.77734375" customWidth="1"/>
    <col min="27" max="27" width="14.44140625" customWidth="1"/>
    <col min="28" max="28" width="12.77734375" bestFit="1" customWidth="1"/>
    <col min="29" max="29" width="13.88671875" customWidth="1"/>
    <col min="30" max="30" width="14.5546875" customWidth="1"/>
    <col min="31" max="31" width="12.77734375" bestFit="1" customWidth="1"/>
    <col min="32" max="32" width="12.6640625" bestFit="1" customWidth="1"/>
    <col min="33" max="33" width="13.6640625" customWidth="1"/>
    <col min="34" max="34" width="14.33203125" customWidth="1"/>
    <col min="35" max="35" width="12.6640625" bestFit="1" customWidth="1"/>
    <col min="36" max="36" width="13.109375" customWidth="1"/>
    <col min="37" max="37" width="12.5546875" style="374" customWidth="1"/>
    <col min="38" max="38" width="12.6640625" bestFit="1" customWidth="1"/>
    <col min="39" max="39" width="11.88671875" bestFit="1" customWidth="1"/>
    <col min="40" max="40" width="14.109375" bestFit="1" customWidth="1"/>
  </cols>
  <sheetData>
    <row r="1" spans="1:37" ht="37.200000000000003" thickBot="1" x14ac:dyDescent="0.35">
      <c r="E1" s="1"/>
      <c r="F1" s="1354" t="s">
        <v>0</v>
      </c>
      <c r="G1" s="1354"/>
      <c r="H1" s="1354"/>
      <c r="I1" s="1354"/>
      <c r="J1" s="1354"/>
      <c r="K1" s="1354"/>
      <c r="L1" s="1354"/>
      <c r="M1" s="1354"/>
      <c r="N1" s="1354"/>
      <c r="O1" s="1354"/>
      <c r="P1" s="1354"/>
      <c r="Q1" s="1354"/>
      <c r="R1" s="4"/>
      <c r="S1" s="1345" t="s">
        <v>1</v>
      </c>
      <c r="T1" s="1345"/>
      <c r="U1" s="1346"/>
    </row>
    <row r="2" spans="1:37" ht="18.600000000000001" thickBot="1" x14ac:dyDescent="0.35">
      <c r="E2" s="2"/>
      <c r="F2" s="1355" t="s">
        <v>2</v>
      </c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5"/>
      <c r="S2" s="1345" t="s">
        <v>3</v>
      </c>
      <c r="T2" s="1345"/>
      <c r="U2" s="1346"/>
    </row>
    <row r="3" spans="1:37" ht="16.8" thickBot="1" x14ac:dyDescent="0.35">
      <c r="E3" s="3"/>
      <c r="F3" s="1344" t="s">
        <v>4</v>
      </c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Q3" s="1344"/>
      <c r="R3" s="6"/>
      <c r="S3" s="1345" t="s">
        <v>5</v>
      </c>
      <c r="T3" s="1345"/>
      <c r="U3" s="1346"/>
    </row>
    <row r="4" spans="1:37" ht="16.8" thickBot="1" x14ac:dyDescent="0.35">
      <c r="C4" s="8"/>
      <c r="D4" s="9" t="s">
        <v>6</v>
      </c>
      <c r="F4" s="1344" t="s">
        <v>39</v>
      </c>
      <c r="G4" s="1344"/>
      <c r="H4" s="1344"/>
      <c r="I4" s="1344"/>
      <c r="J4" s="1344"/>
      <c r="K4" s="1344"/>
      <c r="L4" s="1344"/>
      <c r="M4" s="1344"/>
      <c r="N4" s="1344"/>
      <c r="O4" s="1344"/>
      <c r="P4" s="1344"/>
      <c r="Q4" s="1344"/>
      <c r="R4" s="32"/>
      <c r="S4" s="1345" t="s">
        <v>7</v>
      </c>
      <c r="T4" s="1345"/>
      <c r="U4" s="1346"/>
    </row>
    <row r="5" spans="1:37" x14ac:dyDescent="0.3">
      <c r="J5" t="s">
        <v>51</v>
      </c>
    </row>
    <row r="6" spans="1:37" ht="15" thickBot="1" x14ac:dyDescent="0.35"/>
    <row r="7" spans="1:37" ht="15" thickBot="1" x14ac:dyDescent="0.35">
      <c r="B7" s="10" t="s">
        <v>9</v>
      </c>
      <c r="C7" s="11" t="s">
        <v>10</v>
      </c>
      <c r="D7" s="12" t="s">
        <v>11</v>
      </c>
      <c r="E7" s="245" t="s">
        <v>12</v>
      </c>
      <c r="F7" s="92" t="s">
        <v>13</v>
      </c>
      <c r="G7" s="92" t="s">
        <v>14</v>
      </c>
      <c r="H7" s="275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29" t="s">
        <v>20</v>
      </c>
      <c r="V7" s="30" t="s">
        <v>21</v>
      </c>
      <c r="W7" s="31" t="s">
        <v>22</v>
      </c>
      <c r="X7" s="31" t="s">
        <v>38</v>
      </c>
    </row>
    <row r="8" spans="1:37" s="194" customFormat="1" ht="27.6" x14ac:dyDescent="0.25">
      <c r="A8" s="208" t="s">
        <v>172</v>
      </c>
      <c r="B8" s="290"/>
      <c r="C8" s="103" t="s">
        <v>77</v>
      </c>
      <c r="D8" s="104" t="s">
        <v>79</v>
      </c>
      <c r="E8" s="246" t="s">
        <v>54</v>
      </c>
      <c r="F8" s="268" t="s">
        <v>66</v>
      </c>
      <c r="G8" s="268" t="s">
        <v>66</v>
      </c>
      <c r="H8" s="271">
        <v>45677</v>
      </c>
      <c r="I8" s="107">
        <v>909</v>
      </c>
      <c r="J8" s="108">
        <v>45677</v>
      </c>
      <c r="K8" s="109">
        <v>106672</v>
      </c>
      <c r="L8" s="107">
        <v>909</v>
      </c>
      <c r="M8" s="108">
        <v>45677</v>
      </c>
      <c r="N8" s="109">
        <v>106672</v>
      </c>
      <c r="O8" s="107"/>
      <c r="P8" s="108"/>
      <c r="Q8" s="109"/>
      <c r="R8" s="107"/>
      <c r="S8" s="108"/>
      <c r="T8" s="109"/>
      <c r="U8" s="110" t="s">
        <v>259</v>
      </c>
      <c r="V8" s="111">
        <v>0.25</v>
      </c>
      <c r="W8" s="106">
        <v>3299</v>
      </c>
      <c r="X8" s="112">
        <v>2474</v>
      </c>
      <c r="AK8" s="375"/>
    </row>
    <row r="9" spans="1:37" s="194" customFormat="1" ht="27.6" x14ac:dyDescent="0.25">
      <c r="A9" s="208" t="s">
        <v>173</v>
      </c>
      <c r="B9" s="290"/>
      <c r="C9" s="103" t="s">
        <v>77</v>
      </c>
      <c r="D9" s="104" t="s">
        <v>81</v>
      </c>
      <c r="E9" s="246" t="s">
        <v>54</v>
      </c>
      <c r="F9" s="268" t="s">
        <v>66</v>
      </c>
      <c r="G9" s="268" t="s">
        <v>66</v>
      </c>
      <c r="H9" s="271">
        <v>45679</v>
      </c>
      <c r="I9" s="107">
        <v>751</v>
      </c>
      <c r="J9" s="108">
        <v>45679</v>
      </c>
      <c r="K9" s="109">
        <v>2201250</v>
      </c>
      <c r="L9" s="107">
        <v>1749</v>
      </c>
      <c r="M9" s="108">
        <v>45679</v>
      </c>
      <c r="N9" s="109">
        <v>2201250</v>
      </c>
      <c r="O9" s="107">
        <v>6700</v>
      </c>
      <c r="P9" s="108">
        <v>45799</v>
      </c>
      <c r="Q9" s="109">
        <v>1106250</v>
      </c>
      <c r="R9" s="107"/>
      <c r="S9" s="108"/>
      <c r="T9" s="109"/>
      <c r="U9" s="110" t="s">
        <v>259</v>
      </c>
      <c r="V9" s="111">
        <v>0.25</v>
      </c>
      <c r="W9" s="106">
        <v>3299</v>
      </c>
      <c r="X9" s="112">
        <v>2474</v>
      </c>
      <c r="AK9" s="375"/>
    </row>
    <row r="10" spans="1:37" s="194" customFormat="1" ht="27.6" x14ac:dyDescent="0.25">
      <c r="A10" s="208" t="s">
        <v>174</v>
      </c>
      <c r="B10" s="290"/>
      <c r="C10" s="103" t="s">
        <v>77</v>
      </c>
      <c r="D10" s="104" t="s">
        <v>402</v>
      </c>
      <c r="E10" s="246" t="s">
        <v>54</v>
      </c>
      <c r="F10" s="268" t="s">
        <v>66</v>
      </c>
      <c r="G10" s="268" t="s">
        <v>66</v>
      </c>
      <c r="H10" s="271">
        <v>45696</v>
      </c>
      <c r="I10" s="107">
        <v>2499</v>
      </c>
      <c r="J10" s="108">
        <v>45710</v>
      </c>
      <c r="K10" s="232">
        <v>9242017647</v>
      </c>
      <c r="L10" s="107">
        <v>2890</v>
      </c>
      <c r="M10" s="108">
        <v>45710</v>
      </c>
      <c r="N10" s="232">
        <v>9242017647</v>
      </c>
      <c r="O10" s="107">
        <v>6700</v>
      </c>
      <c r="P10" s="108">
        <v>45799</v>
      </c>
      <c r="Q10" s="109">
        <v>6930345587</v>
      </c>
      <c r="R10" s="107">
        <v>3835</v>
      </c>
      <c r="S10" s="108">
        <v>45833</v>
      </c>
      <c r="T10" s="232">
        <v>2064049</v>
      </c>
      <c r="U10" s="110" t="s">
        <v>258</v>
      </c>
      <c r="V10" s="111">
        <v>0.2</v>
      </c>
      <c r="W10" s="106">
        <v>3958</v>
      </c>
      <c r="X10" s="112">
        <v>3167</v>
      </c>
      <c r="AK10" s="375"/>
    </row>
    <row r="11" spans="1:37" s="194" customFormat="1" ht="29.4" customHeight="1" x14ac:dyDescent="0.25">
      <c r="A11" s="208" t="s">
        <v>167</v>
      </c>
      <c r="B11" s="290" t="s">
        <v>105</v>
      </c>
      <c r="C11" s="103" t="s">
        <v>77</v>
      </c>
      <c r="D11" s="104" t="s">
        <v>104</v>
      </c>
      <c r="E11" s="246" t="s">
        <v>87</v>
      </c>
      <c r="F11" s="272" t="s">
        <v>66</v>
      </c>
      <c r="G11" s="268" t="s">
        <v>66</v>
      </c>
      <c r="H11" s="271">
        <v>45712</v>
      </c>
      <c r="I11" s="107">
        <v>1999</v>
      </c>
      <c r="J11" s="108">
        <v>45712</v>
      </c>
      <c r="K11" s="1143">
        <v>9395510221</v>
      </c>
      <c r="L11" s="107"/>
      <c r="M11" s="108"/>
      <c r="N11" s="109"/>
      <c r="O11" s="1145">
        <v>7200</v>
      </c>
      <c r="P11" s="108">
        <v>45884</v>
      </c>
      <c r="Q11" s="1146">
        <v>68015212</v>
      </c>
      <c r="R11" s="1145">
        <v>3085</v>
      </c>
      <c r="S11" s="108">
        <v>45895</v>
      </c>
      <c r="T11" s="1146">
        <v>24761921</v>
      </c>
      <c r="U11" s="110"/>
      <c r="V11" s="111"/>
      <c r="W11" s="106"/>
      <c r="X11" s="112"/>
      <c r="AG11" s="249"/>
      <c r="AJ11" s="249"/>
      <c r="AK11" s="375"/>
    </row>
    <row r="12" spans="1:37" s="194" customFormat="1" ht="29.4" customHeight="1" x14ac:dyDescent="0.25">
      <c r="A12" s="208" t="s">
        <v>170</v>
      </c>
      <c r="B12" s="290"/>
      <c r="C12" s="103" t="s">
        <v>77</v>
      </c>
      <c r="D12" s="104" t="s">
        <v>118</v>
      </c>
      <c r="E12" s="246" t="s">
        <v>87</v>
      </c>
      <c r="F12" s="268" t="s">
        <v>66</v>
      </c>
      <c r="G12" s="268" t="s">
        <v>66</v>
      </c>
      <c r="H12" s="271">
        <v>45716</v>
      </c>
      <c r="I12" s="107">
        <v>2499</v>
      </c>
      <c r="J12" s="108">
        <v>45716</v>
      </c>
      <c r="K12" s="232">
        <v>41189</v>
      </c>
      <c r="L12" s="107">
        <v>2890</v>
      </c>
      <c r="M12" s="108">
        <v>45716</v>
      </c>
      <c r="N12" s="232">
        <v>41189</v>
      </c>
      <c r="O12" s="107"/>
      <c r="P12" s="108"/>
      <c r="Q12" s="109"/>
      <c r="R12" s="107"/>
      <c r="S12" s="108"/>
      <c r="T12" s="109"/>
      <c r="U12" s="110"/>
      <c r="V12" s="111"/>
      <c r="W12" s="106"/>
      <c r="X12" s="112"/>
      <c r="AK12" s="375"/>
    </row>
    <row r="13" spans="1:37" s="194" customFormat="1" ht="33.6" customHeight="1" x14ac:dyDescent="0.25">
      <c r="A13" s="208" t="s">
        <v>175</v>
      </c>
      <c r="B13" s="290"/>
      <c r="C13" s="103" t="s">
        <v>77</v>
      </c>
      <c r="D13" s="104" t="s">
        <v>119</v>
      </c>
      <c r="E13" s="246" t="s">
        <v>87</v>
      </c>
      <c r="F13" s="268" t="s">
        <v>66</v>
      </c>
      <c r="G13" s="268" t="s">
        <v>66</v>
      </c>
      <c r="H13" s="271">
        <v>45716</v>
      </c>
      <c r="I13" s="107">
        <v>2499</v>
      </c>
      <c r="J13" s="108">
        <v>45716</v>
      </c>
      <c r="K13" s="109">
        <v>2802257</v>
      </c>
      <c r="L13" s="107">
        <v>2890</v>
      </c>
      <c r="M13" s="108">
        <v>45716</v>
      </c>
      <c r="N13" s="109">
        <v>2802257</v>
      </c>
      <c r="O13" s="107">
        <v>7200</v>
      </c>
      <c r="P13" s="108">
        <v>45908</v>
      </c>
      <c r="Q13" s="109">
        <v>113</v>
      </c>
      <c r="R13" s="107">
        <v>3085</v>
      </c>
      <c r="S13" s="108">
        <v>45897</v>
      </c>
      <c r="T13" s="109">
        <v>2808250</v>
      </c>
      <c r="U13" s="110" t="s">
        <v>258</v>
      </c>
      <c r="V13" s="111">
        <v>0.3</v>
      </c>
      <c r="W13" s="106">
        <v>3958</v>
      </c>
      <c r="X13" s="112">
        <v>2770</v>
      </c>
      <c r="AK13" s="375"/>
    </row>
    <row r="14" spans="1:37" s="194" customFormat="1" ht="30.6" customHeight="1" x14ac:dyDescent="0.25">
      <c r="A14" s="208" t="s">
        <v>176</v>
      </c>
      <c r="B14" s="290"/>
      <c r="C14" s="103" t="s">
        <v>77</v>
      </c>
      <c r="D14" s="104" t="s">
        <v>123</v>
      </c>
      <c r="E14" s="246" t="s">
        <v>87</v>
      </c>
      <c r="F14" s="269" t="s">
        <v>66</v>
      </c>
      <c r="G14" s="269" t="s">
        <v>66</v>
      </c>
      <c r="H14" s="276">
        <v>45721</v>
      </c>
      <c r="I14" s="107">
        <v>2499</v>
      </c>
      <c r="J14" s="108">
        <v>45721</v>
      </c>
      <c r="K14" s="109">
        <v>7870915</v>
      </c>
      <c r="L14" s="107">
        <v>2890</v>
      </c>
      <c r="M14" s="108">
        <v>45721</v>
      </c>
      <c r="N14" s="109">
        <v>7870915</v>
      </c>
      <c r="O14" s="107">
        <v>7200</v>
      </c>
      <c r="P14" s="108">
        <v>45905</v>
      </c>
      <c r="Q14" s="109">
        <v>25432322</v>
      </c>
      <c r="R14" s="107">
        <v>1965</v>
      </c>
      <c r="S14" s="108">
        <v>45894</v>
      </c>
      <c r="T14" s="109">
        <v>43703096</v>
      </c>
      <c r="U14" s="110" t="s">
        <v>259</v>
      </c>
      <c r="V14" s="113">
        <v>0.25</v>
      </c>
      <c r="W14" s="106">
        <v>3299</v>
      </c>
      <c r="X14" s="112">
        <v>2640</v>
      </c>
      <c r="AK14" s="375"/>
    </row>
    <row r="15" spans="1:37" s="194" customFormat="1" ht="28.05" customHeight="1" x14ac:dyDescent="0.25">
      <c r="A15" s="208" t="s">
        <v>244</v>
      </c>
      <c r="B15" s="290"/>
      <c r="C15" s="103" t="s">
        <v>77</v>
      </c>
      <c r="D15" s="104" t="s">
        <v>243</v>
      </c>
      <c r="E15" s="246" t="s">
        <v>87</v>
      </c>
      <c r="F15" s="269" t="s">
        <v>66</v>
      </c>
      <c r="G15" s="269" t="s">
        <v>66</v>
      </c>
      <c r="H15" s="276">
        <v>45706</v>
      </c>
      <c r="I15" s="107">
        <v>2890</v>
      </c>
      <c r="J15" s="108">
        <v>45706</v>
      </c>
      <c r="K15" s="109">
        <v>8881301154</v>
      </c>
      <c r="L15" s="107">
        <v>2890</v>
      </c>
      <c r="M15" s="108">
        <v>45706</v>
      </c>
      <c r="N15" s="109">
        <v>8881123541</v>
      </c>
      <c r="O15" s="107">
        <v>7200</v>
      </c>
      <c r="P15" s="108">
        <v>45888</v>
      </c>
      <c r="Q15" s="109">
        <v>73106416</v>
      </c>
      <c r="R15" s="107">
        <v>3085</v>
      </c>
      <c r="S15" s="108">
        <v>45866</v>
      </c>
      <c r="T15" s="109">
        <v>311400064</v>
      </c>
      <c r="U15" s="110" t="s">
        <v>258</v>
      </c>
      <c r="V15" s="111">
        <v>0.25</v>
      </c>
      <c r="W15" s="106">
        <v>3958</v>
      </c>
      <c r="X15" s="112">
        <v>3167</v>
      </c>
      <c r="AG15" s="249"/>
      <c r="AJ15" s="249"/>
      <c r="AK15" s="375"/>
    </row>
    <row r="16" spans="1:37" s="194" customFormat="1" ht="13.8" x14ac:dyDescent="0.25">
      <c r="A16" s="208" t="s">
        <v>265</v>
      </c>
      <c r="B16" s="290"/>
      <c r="C16" s="103" t="s">
        <v>77</v>
      </c>
      <c r="D16" s="104" t="s">
        <v>264</v>
      </c>
      <c r="E16" s="246" t="s">
        <v>201</v>
      </c>
      <c r="F16" s="269" t="s">
        <v>66</v>
      </c>
      <c r="G16" s="269" t="s">
        <v>66</v>
      </c>
      <c r="H16" s="276">
        <v>45861</v>
      </c>
      <c r="I16" s="107">
        <v>2890</v>
      </c>
      <c r="J16" s="108">
        <v>45861</v>
      </c>
      <c r="K16" s="109">
        <v>230725</v>
      </c>
      <c r="L16" s="107">
        <v>2499</v>
      </c>
      <c r="M16" s="108">
        <v>45861</v>
      </c>
      <c r="N16" s="109">
        <v>230725</v>
      </c>
      <c r="O16" s="107">
        <v>7200</v>
      </c>
      <c r="P16" s="108">
        <v>45861</v>
      </c>
      <c r="Q16" s="109">
        <v>230725</v>
      </c>
      <c r="R16" s="107">
        <v>3335</v>
      </c>
      <c r="S16" s="108">
        <v>45861</v>
      </c>
      <c r="T16" s="109">
        <v>230725</v>
      </c>
      <c r="U16" s="110"/>
      <c r="V16" s="113"/>
      <c r="W16" s="106"/>
      <c r="X16" s="112"/>
      <c r="AK16" s="375"/>
    </row>
    <row r="17" spans="1:37" s="194" customFormat="1" ht="13.8" x14ac:dyDescent="0.25">
      <c r="A17" s="208" t="s">
        <v>383</v>
      </c>
      <c r="B17" s="290"/>
      <c r="C17" s="103" t="s">
        <v>77</v>
      </c>
      <c r="D17" s="104" t="s">
        <v>382</v>
      </c>
      <c r="E17" s="246" t="s">
        <v>201</v>
      </c>
      <c r="F17" s="269" t="s">
        <v>66</v>
      </c>
      <c r="G17" s="269" t="s">
        <v>66</v>
      </c>
      <c r="H17" s="276">
        <v>45894</v>
      </c>
      <c r="I17" s="107">
        <v>1445</v>
      </c>
      <c r="J17" s="108">
        <v>45895</v>
      </c>
      <c r="K17" s="109">
        <v>2508250</v>
      </c>
      <c r="L17" s="107">
        <v>1249.5</v>
      </c>
      <c r="M17" s="108">
        <v>45895</v>
      </c>
      <c r="N17" s="109">
        <v>2508250</v>
      </c>
      <c r="O17" s="107">
        <v>5200</v>
      </c>
      <c r="P17" s="108">
        <v>45917</v>
      </c>
      <c r="Q17" s="109"/>
      <c r="R17" s="107">
        <v>3085</v>
      </c>
      <c r="S17" s="108">
        <v>45895</v>
      </c>
      <c r="T17" s="109">
        <v>2508250</v>
      </c>
      <c r="U17" s="110" t="s">
        <v>258</v>
      </c>
      <c r="V17" s="113">
        <v>0.3</v>
      </c>
      <c r="W17" s="106">
        <v>3958</v>
      </c>
      <c r="X17" s="398">
        <v>2309</v>
      </c>
      <c r="AK17" s="375"/>
    </row>
    <row r="18" spans="1:37" s="196" customFormat="1" ht="13.8" x14ac:dyDescent="0.25">
      <c r="A18" s="189" t="s">
        <v>410</v>
      </c>
      <c r="B18" s="290"/>
      <c r="C18" s="223" t="s">
        <v>77</v>
      </c>
      <c r="D18" s="104" t="s">
        <v>786</v>
      </c>
      <c r="E18" s="246" t="s">
        <v>201</v>
      </c>
      <c r="F18" s="270" t="s">
        <v>66</v>
      </c>
      <c r="G18" s="270" t="s">
        <v>66</v>
      </c>
      <c r="H18" s="277">
        <v>45897</v>
      </c>
      <c r="I18" s="114">
        <v>2490</v>
      </c>
      <c r="J18" s="115">
        <v>45897</v>
      </c>
      <c r="K18" s="116">
        <v>184229</v>
      </c>
      <c r="L18" s="114">
        <v>2890</v>
      </c>
      <c r="M18" s="115">
        <v>45897</v>
      </c>
      <c r="N18" s="116">
        <v>184229</v>
      </c>
      <c r="O18" s="114">
        <v>7200</v>
      </c>
      <c r="P18" s="115">
        <v>45897</v>
      </c>
      <c r="Q18" s="116">
        <v>184229</v>
      </c>
      <c r="R18" s="114"/>
      <c r="S18" s="117"/>
      <c r="T18" s="116"/>
      <c r="U18" s="117" t="s">
        <v>259</v>
      </c>
      <c r="V18" s="190">
        <v>0.18</v>
      </c>
      <c r="W18" s="118">
        <v>3299</v>
      </c>
      <c r="X18" s="119">
        <v>2705</v>
      </c>
      <c r="AK18" s="376"/>
    </row>
    <row r="19" spans="1:37" s="194" customFormat="1" ht="13.8" x14ac:dyDescent="0.25">
      <c r="A19" s="208"/>
      <c r="B19" s="290"/>
      <c r="C19" s="103"/>
      <c r="D19" s="104"/>
      <c r="E19" s="246"/>
      <c r="F19" s="269"/>
      <c r="G19" s="269"/>
      <c r="H19" s="276"/>
      <c r="I19" s="107"/>
      <c r="J19" s="108"/>
      <c r="K19" s="109"/>
      <c r="L19" s="107"/>
      <c r="M19" s="108"/>
      <c r="N19" s="109"/>
      <c r="O19" s="107"/>
      <c r="P19" s="108"/>
      <c r="Q19" s="109"/>
      <c r="R19" s="107"/>
      <c r="S19" s="108"/>
      <c r="T19" s="109"/>
      <c r="U19" s="110"/>
      <c r="V19" s="113"/>
      <c r="W19" s="106"/>
      <c r="X19" s="112"/>
      <c r="AK19" s="375"/>
    </row>
    <row r="20" spans="1:37" s="194" customFormat="1" ht="13.8" x14ac:dyDescent="0.25">
      <c r="A20" s="208"/>
      <c r="B20" s="290"/>
      <c r="C20" s="103"/>
      <c r="D20" s="104"/>
      <c r="E20" s="246"/>
      <c r="F20" s="269"/>
      <c r="G20" s="269"/>
      <c r="H20" s="276"/>
      <c r="I20" s="107"/>
      <c r="J20" s="108"/>
      <c r="K20" s="109"/>
      <c r="L20" s="107"/>
      <c r="M20" s="108"/>
      <c r="N20" s="109"/>
      <c r="O20" s="107"/>
      <c r="P20" s="108"/>
      <c r="Q20" s="109"/>
      <c r="R20" s="107"/>
      <c r="S20" s="120"/>
      <c r="T20" s="121"/>
      <c r="U20" s="110"/>
      <c r="V20" s="113"/>
      <c r="W20" s="106"/>
      <c r="X20" s="112"/>
      <c r="AK20" s="375"/>
    </row>
    <row r="21" spans="1:37" s="194" customFormat="1" ht="13.8" x14ac:dyDescent="0.25">
      <c r="A21" s="208"/>
      <c r="B21" s="290"/>
      <c r="C21" s="103"/>
      <c r="D21" s="104"/>
      <c r="E21" s="246"/>
      <c r="F21" s="269"/>
      <c r="G21" s="269"/>
      <c r="H21" s="276"/>
      <c r="I21" s="107"/>
      <c r="J21" s="108"/>
      <c r="K21" s="109"/>
      <c r="L21" s="107"/>
      <c r="M21" s="108"/>
      <c r="N21" s="109"/>
      <c r="O21" s="107"/>
      <c r="P21" s="108"/>
      <c r="Q21" s="109"/>
      <c r="R21" s="107"/>
      <c r="S21" s="110"/>
      <c r="T21" s="109"/>
      <c r="U21" s="110"/>
      <c r="V21" s="113"/>
      <c r="W21" s="106"/>
      <c r="X21" s="112"/>
      <c r="AK21" s="375"/>
    </row>
    <row r="22" spans="1:37" s="194" customFormat="1" ht="13.8" x14ac:dyDescent="0.25">
      <c r="A22" s="208"/>
      <c r="B22" s="290"/>
      <c r="C22" s="103"/>
      <c r="D22" s="104"/>
      <c r="E22" s="246"/>
      <c r="F22" s="269"/>
      <c r="G22" s="269"/>
      <c r="H22" s="276"/>
      <c r="I22" s="107"/>
      <c r="J22" s="108"/>
      <c r="K22" s="109"/>
      <c r="L22" s="107"/>
      <c r="M22" s="108"/>
      <c r="N22" s="109"/>
      <c r="O22" s="107"/>
      <c r="P22" s="108"/>
      <c r="Q22" s="109"/>
      <c r="R22" s="107"/>
      <c r="S22" s="110"/>
      <c r="T22" s="109"/>
      <c r="U22" s="110"/>
      <c r="V22" s="111"/>
      <c r="W22" s="106"/>
      <c r="X22" s="112"/>
      <c r="AK22" s="375"/>
    </row>
    <row r="23" spans="1:37" s="194" customFormat="1" ht="13.8" x14ac:dyDescent="0.25">
      <c r="A23" s="208"/>
      <c r="B23" s="290"/>
      <c r="C23" s="103"/>
      <c r="D23" s="104"/>
      <c r="E23" s="246"/>
      <c r="F23" s="269"/>
      <c r="G23" s="269"/>
      <c r="H23" s="276"/>
      <c r="I23" s="107"/>
      <c r="J23" s="108"/>
      <c r="K23" s="109"/>
      <c r="L23" s="107"/>
      <c r="M23" s="108"/>
      <c r="N23" s="109"/>
      <c r="O23" s="107"/>
      <c r="P23" s="108"/>
      <c r="Q23" s="109"/>
      <c r="R23" s="107"/>
      <c r="S23" s="108"/>
      <c r="T23" s="109"/>
      <c r="U23" s="110"/>
      <c r="V23" s="111"/>
      <c r="W23" s="106"/>
      <c r="X23" s="112"/>
      <c r="AK23" s="375"/>
    </row>
    <row r="24" spans="1:37" s="194" customFormat="1" thickBot="1" x14ac:dyDescent="0.3">
      <c r="A24" s="208"/>
      <c r="B24" s="290"/>
      <c r="C24" s="122"/>
      <c r="D24" s="123"/>
      <c r="E24" s="247"/>
      <c r="F24" s="269"/>
      <c r="G24" s="269"/>
      <c r="H24" s="276"/>
      <c r="I24" s="127"/>
      <c r="J24" s="126"/>
      <c r="K24" s="128"/>
      <c r="L24" s="127"/>
      <c r="M24" s="126"/>
      <c r="N24" s="128"/>
      <c r="O24" s="127"/>
      <c r="P24" s="126"/>
      <c r="Q24" s="128"/>
      <c r="R24" s="127"/>
      <c r="S24" s="126"/>
      <c r="T24" s="128"/>
      <c r="U24" s="125"/>
      <c r="V24" s="129"/>
      <c r="W24" s="130"/>
      <c r="X24" s="131"/>
      <c r="AK24" s="375"/>
    </row>
    <row r="25" spans="1:37" s="194" customFormat="1" thickBot="1" x14ac:dyDescent="0.3">
      <c r="A25" s="208"/>
      <c r="B25" s="290"/>
      <c r="C25" s="122"/>
      <c r="D25" s="123"/>
      <c r="E25" s="247"/>
      <c r="F25" s="269"/>
      <c r="G25" s="269"/>
      <c r="H25" s="276"/>
      <c r="I25" s="127"/>
      <c r="J25" s="126"/>
      <c r="K25" s="128"/>
      <c r="L25" s="127"/>
      <c r="M25" s="126"/>
      <c r="N25" s="128"/>
      <c r="O25" s="127"/>
      <c r="P25" s="126"/>
      <c r="Q25" s="128"/>
      <c r="R25" s="127"/>
      <c r="S25" s="126"/>
      <c r="T25" s="128"/>
      <c r="U25" s="125"/>
      <c r="V25" s="129"/>
      <c r="W25" s="130"/>
      <c r="X25" s="131"/>
      <c r="AK25" s="375"/>
    </row>
    <row r="26" spans="1:37" s="194" customFormat="1" thickBot="1" x14ac:dyDescent="0.3">
      <c r="A26" s="208"/>
      <c r="B26" s="290"/>
      <c r="C26" s="122"/>
      <c r="D26" s="123"/>
      <c r="E26" s="247"/>
      <c r="F26" s="269"/>
      <c r="G26" s="269"/>
      <c r="H26" s="276"/>
      <c r="I26" s="127"/>
      <c r="J26" s="126"/>
      <c r="K26" s="128"/>
      <c r="L26" s="127"/>
      <c r="M26" s="126"/>
      <c r="N26" s="128"/>
      <c r="O26" s="127"/>
      <c r="P26" s="126"/>
      <c r="Q26" s="128"/>
      <c r="R26" s="127"/>
      <c r="S26" s="126"/>
      <c r="T26" s="128"/>
      <c r="U26" s="125"/>
      <c r="V26" s="129"/>
      <c r="W26" s="130"/>
      <c r="X26" s="131"/>
      <c r="AK26" s="375"/>
    </row>
    <row r="27" spans="1:37" ht="25.05" customHeight="1" thickBot="1" x14ac:dyDescent="0.35">
      <c r="A27" s="283"/>
      <c r="B27" s="290"/>
      <c r="C27" s="122"/>
      <c r="D27" s="123"/>
      <c r="E27" s="247"/>
      <c r="F27" s="269"/>
      <c r="G27" s="269"/>
      <c r="H27" s="276"/>
      <c r="I27" s="127"/>
      <c r="J27" s="126"/>
      <c r="K27" s="128"/>
      <c r="L27" s="127"/>
      <c r="M27" s="126"/>
      <c r="N27" s="128"/>
      <c r="O27" s="127"/>
      <c r="P27" s="126"/>
      <c r="Q27" s="128"/>
      <c r="R27" s="127"/>
      <c r="S27" s="126"/>
      <c r="T27" s="128"/>
      <c r="U27" s="125"/>
      <c r="V27" s="129"/>
      <c r="W27" s="130"/>
      <c r="X27" s="131"/>
    </row>
    <row r="28" spans="1:37" ht="15" thickBot="1" x14ac:dyDescent="0.35">
      <c r="A28" s="283"/>
      <c r="B28" s="290"/>
      <c r="C28" s="122"/>
      <c r="D28" s="123"/>
      <c r="E28" s="247"/>
      <c r="F28" s="269"/>
      <c r="G28" s="269"/>
      <c r="H28" s="276"/>
      <c r="I28" s="127"/>
      <c r="J28" s="126"/>
      <c r="K28" s="128"/>
      <c r="L28" s="127"/>
      <c r="M28" s="126"/>
      <c r="N28" s="128"/>
      <c r="O28" s="127"/>
      <c r="P28" s="126"/>
      <c r="Q28" s="128"/>
      <c r="R28" s="127"/>
      <c r="S28" s="126"/>
      <c r="T28" s="128"/>
      <c r="U28" s="125"/>
      <c r="V28" s="129"/>
      <c r="W28" s="130"/>
      <c r="X28" s="131"/>
    </row>
    <row r="29" spans="1:37" ht="15" thickBot="1" x14ac:dyDescent="0.35">
      <c r="A29" s="283"/>
      <c r="B29" s="290"/>
      <c r="C29" s="122"/>
      <c r="D29" s="123"/>
      <c r="E29" s="247"/>
      <c r="F29" s="269"/>
      <c r="G29" s="269"/>
      <c r="H29" s="276"/>
      <c r="I29" s="127"/>
      <c r="J29" s="126"/>
      <c r="K29" s="128"/>
      <c r="L29" s="127"/>
      <c r="M29" s="126"/>
      <c r="N29" s="128"/>
      <c r="O29" s="127"/>
      <c r="P29" s="126"/>
      <c r="Q29" s="128"/>
      <c r="R29" s="127"/>
      <c r="S29" s="126"/>
      <c r="T29" s="128"/>
      <c r="U29" s="125"/>
      <c r="V29" s="129"/>
      <c r="W29" s="130"/>
      <c r="X29" s="131"/>
    </row>
    <row r="30" spans="1:37" ht="15" thickBot="1" x14ac:dyDescent="0.35">
      <c r="A30" s="283"/>
      <c r="B30" s="290"/>
      <c r="C30" s="122"/>
      <c r="D30" s="123"/>
      <c r="E30" s="247"/>
      <c r="F30" s="269"/>
      <c r="G30" s="269"/>
      <c r="H30" s="276"/>
      <c r="I30" s="127"/>
      <c r="J30" s="126"/>
      <c r="K30" s="128"/>
      <c r="L30" s="127"/>
      <c r="M30" s="126"/>
      <c r="N30" s="128"/>
      <c r="O30" s="127"/>
      <c r="P30" s="126"/>
      <c r="Q30" s="128"/>
      <c r="R30" s="127"/>
      <c r="S30" s="126"/>
      <c r="T30" s="128"/>
      <c r="U30" s="125"/>
      <c r="V30" s="129"/>
      <c r="W30" s="130"/>
      <c r="X30" s="131"/>
    </row>
    <row r="31" spans="1:37" ht="15" thickBot="1" x14ac:dyDescent="0.35">
      <c r="A31" s="283"/>
      <c r="B31" s="290"/>
      <c r="C31" s="122"/>
      <c r="D31" s="123"/>
      <c r="E31" s="247"/>
      <c r="F31" s="269"/>
      <c r="G31" s="269"/>
      <c r="H31" s="276"/>
      <c r="I31" s="127"/>
      <c r="J31" s="126"/>
      <c r="K31" s="128"/>
      <c r="L31" s="127"/>
      <c r="M31" s="126"/>
      <c r="N31" s="128"/>
      <c r="O31" s="127"/>
      <c r="P31" s="126"/>
      <c r="Q31" s="128"/>
      <c r="R31" s="127"/>
      <c r="S31" s="126"/>
      <c r="T31" s="128"/>
      <c r="U31" s="125"/>
      <c r="V31" s="129"/>
      <c r="W31" s="130"/>
      <c r="X31" s="131"/>
    </row>
    <row r="32" spans="1:37" ht="15" thickBot="1" x14ac:dyDescent="0.35">
      <c r="A32" s="283"/>
      <c r="B32" s="290"/>
      <c r="C32" s="122"/>
      <c r="D32" s="123"/>
      <c r="E32" s="247"/>
      <c r="F32" s="269"/>
      <c r="G32" s="269"/>
      <c r="H32" s="276"/>
      <c r="I32" s="127"/>
      <c r="J32" s="126"/>
      <c r="K32" s="128"/>
      <c r="L32" s="127"/>
      <c r="M32" s="126"/>
      <c r="N32" s="128"/>
      <c r="O32" s="127"/>
      <c r="P32" s="126"/>
      <c r="Q32" s="128"/>
      <c r="R32" s="127"/>
      <c r="S32" s="126"/>
      <c r="T32" s="128"/>
      <c r="U32" s="125"/>
      <c r="V32" s="129"/>
      <c r="W32" s="130"/>
      <c r="X32" s="131"/>
    </row>
    <row r="33" spans="1:41" ht="15" thickBot="1" x14ac:dyDescent="0.35">
      <c r="A33" s="283"/>
      <c r="B33" s="290"/>
      <c r="C33" s="122"/>
      <c r="D33" s="123"/>
      <c r="E33" s="247"/>
      <c r="F33" s="269"/>
      <c r="G33" s="269"/>
      <c r="H33" s="276"/>
      <c r="I33" s="127"/>
      <c r="J33" s="126"/>
      <c r="K33" s="128"/>
      <c r="L33" s="127"/>
      <c r="M33" s="126"/>
      <c r="N33" s="128"/>
      <c r="O33" s="127"/>
      <c r="P33" s="126"/>
      <c r="Q33" s="128"/>
      <c r="R33" s="127"/>
      <c r="S33" s="126"/>
      <c r="T33" s="128"/>
      <c r="U33" s="125"/>
      <c r="V33" s="129"/>
      <c r="W33" s="130"/>
      <c r="X33" s="131"/>
    </row>
    <row r="34" spans="1:41" x14ac:dyDescent="0.3">
      <c r="C34" s="252"/>
      <c r="D34" s="253"/>
      <c r="E34" s="273"/>
      <c r="F34" s="254"/>
      <c r="G34" s="254"/>
      <c r="H34" s="278"/>
      <c r="I34" s="255"/>
      <c r="J34" s="236"/>
      <c r="K34" s="256"/>
      <c r="L34" s="255"/>
      <c r="M34" s="236"/>
      <c r="N34" s="256"/>
      <c r="O34" s="255"/>
      <c r="P34" s="236"/>
      <c r="Q34" s="256"/>
      <c r="R34" s="255"/>
      <c r="S34" s="236"/>
      <c r="T34" s="256"/>
      <c r="U34" s="191"/>
      <c r="V34" s="257"/>
      <c r="W34" s="255"/>
      <c r="X34" s="255"/>
    </row>
    <row r="35" spans="1:41" ht="15" thickBot="1" x14ac:dyDescent="0.35"/>
    <row r="36" spans="1:41" ht="18" thickBot="1" x14ac:dyDescent="0.35">
      <c r="B36" s="1351" t="s">
        <v>24</v>
      </c>
      <c r="C36" s="1352"/>
      <c r="D36" s="1352"/>
      <c r="E36" s="1352"/>
      <c r="F36" s="1352"/>
      <c r="G36" s="1352"/>
      <c r="H36" s="1352"/>
      <c r="I36" s="1352"/>
      <c r="J36" s="1352"/>
      <c r="K36" s="1352"/>
      <c r="L36" s="1352"/>
      <c r="M36" s="1352"/>
      <c r="N36" s="1352"/>
      <c r="O36" s="1352"/>
      <c r="P36" s="1352"/>
      <c r="Q36" s="1352"/>
      <c r="R36" s="1352"/>
      <c r="S36" s="1352"/>
      <c r="T36" s="1352"/>
      <c r="U36" s="1352"/>
      <c r="V36" s="1352"/>
      <c r="W36" s="1352"/>
      <c r="X36" s="1352"/>
      <c r="Y36" s="1352"/>
      <c r="Z36" s="1352"/>
      <c r="AA36" s="1352"/>
      <c r="AB36" s="1352"/>
      <c r="AC36" s="1352"/>
      <c r="AD36" s="1352"/>
      <c r="AE36" s="1352"/>
      <c r="AF36" s="1352"/>
      <c r="AG36" s="1352"/>
      <c r="AH36" s="1352"/>
      <c r="AI36" s="1352"/>
      <c r="AJ36" s="1352"/>
      <c r="AK36" s="1352"/>
      <c r="AL36" s="1352"/>
      <c r="AM36" s="1352"/>
      <c r="AN36" s="1353"/>
    </row>
    <row r="37" spans="1:41" ht="15" thickBot="1" x14ac:dyDescent="0.35">
      <c r="B37" s="45" t="s">
        <v>9</v>
      </c>
      <c r="C37" s="46" t="s">
        <v>10</v>
      </c>
      <c r="D37" s="45" t="s">
        <v>11</v>
      </c>
      <c r="E37" s="1339" t="s">
        <v>25</v>
      </c>
      <c r="F37" s="1340"/>
      <c r="G37" s="1341"/>
      <c r="H37" s="1342" t="s">
        <v>26</v>
      </c>
      <c r="I37" s="1342"/>
      <c r="J37" s="1342"/>
      <c r="K37" s="1339" t="s">
        <v>27</v>
      </c>
      <c r="L37" s="1340"/>
      <c r="M37" s="1341"/>
      <c r="N37" s="1342" t="s">
        <v>28</v>
      </c>
      <c r="O37" s="1342"/>
      <c r="P37" s="1342"/>
      <c r="Q37" s="1339" t="s">
        <v>29</v>
      </c>
      <c r="R37" s="1340"/>
      <c r="S37" s="1341"/>
      <c r="T37" s="1342" t="s">
        <v>30</v>
      </c>
      <c r="U37" s="1342"/>
      <c r="V37" s="1342"/>
      <c r="W37" s="1339" t="s">
        <v>36</v>
      </c>
      <c r="X37" s="1340"/>
      <c r="Y37" s="1341"/>
      <c r="Z37" s="1342" t="s">
        <v>31</v>
      </c>
      <c r="AA37" s="1342"/>
      <c r="AB37" s="1342"/>
      <c r="AC37" s="1339" t="s">
        <v>32</v>
      </c>
      <c r="AD37" s="1340"/>
      <c r="AE37" s="1341"/>
      <c r="AF37" s="1342" t="s">
        <v>33</v>
      </c>
      <c r="AG37" s="1342"/>
      <c r="AH37" s="1342"/>
      <c r="AI37" s="1339" t="s">
        <v>34</v>
      </c>
      <c r="AJ37" s="1340"/>
      <c r="AK37" s="1341"/>
      <c r="AL37" s="1342" t="s">
        <v>35</v>
      </c>
      <c r="AM37" s="1342"/>
      <c r="AN37" s="1343"/>
    </row>
    <row r="38" spans="1:41" ht="15" thickBot="1" x14ac:dyDescent="0.35">
      <c r="A38" s="283"/>
      <c r="B38" s="48"/>
      <c r="C38" s="48"/>
      <c r="D38" s="48"/>
      <c r="E38" s="89" t="s">
        <v>37</v>
      </c>
      <c r="F38" s="90" t="s">
        <v>15</v>
      </c>
      <c r="G38" s="91" t="s">
        <v>14</v>
      </c>
      <c r="H38" s="279" t="s">
        <v>37</v>
      </c>
      <c r="I38" s="90" t="s">
        <v>15</v>
      </c>
      <c r="J38" s="90" t="s">
        <v>14</v>
      </c>
      <c r="K38" s="89" t="s">
        <v>37</v>
      </c>
      <c r="L38" s="90" t="s">
        <v>15</v>
      </c>
      <c r="M38" s="91" t="s">
        <v>14</v>
      </c>
      <c r="N38" s="90" t="s">
        <v>37</v>
      </c>
      <c r="O38" s="90" t="s">
        <v>15</v>
      </c>
      <c r="P38" s="90" t="s">
        <v>14</v>
      </c>
      <c r="Q38" s="89" t="s">
        <v>37</v>
      </c>
      <c r="R38" s="90" t="s">
        <v>15</v>
      </c>
      <c r="S38" s="91" t="s">
        <v>14</v>
      </c>
      <c r="T38" s="90" t="s">
        <v>37</v>
      </c>
      <c r="U38" s="90" t="s">
        <v>15</v>
      </c>
      <c r="V38" s="90" t="s">
        <v>14</v>
      </c>
      <c r="W38" s="89" t="s">
        <v>37</v>
      </c>
      <c r="X38" s="90" t="s">
        <v>15</v>
      </c>
      <c r="Y38" s="91" t="s">
        <v>14</v>
      </c>
      <c r="Z38" s="90" t="s">
        <v>37</v>
      </c>
      <c r="AA38" s="90" t="s">
        <v>15</v>
      </c>
      <c r="AB38" s="90" t="s">
        <v>14</v>
      </c>
      <c r="AC38" s="89" t="s">
        <v>37</v>
      </c>
      <c r="AD38" s="90" t="s">
        <v>15</v>
      </c>
      <c r="AE38" s="91" t="s">
        <v>14</v>
      </c>
      <c r="AF38" s="90" t="s">
        <v>37</v>
      </c>
      <c r="AG38" s="90" t="s">
        <v>15</v>
      </c>
      <c r="AH38" s="90" t="s">
        <v>14</v>
      </c>
      <c r="AI38" s="89" t="s">
        <v>37</v>
      </c>
      <c r="AJ38" s="90" t="s">
        <v>15</v>
      </c>
      <c r="AK38" s="377" t="s">
        <v>14</v>
      </c>
      <c r="AL38" s="90" t="s">
        <v>37</v>
      </c>
      <c r="AM38" s="90" t="s">
        <v>15</v>
      </c>
      <c r="AN38" s="91" t="s">
        <v>14</v>
      </c>
    </row>
    <row r="39" spans="1:41" s="194" customFormat="1" ht="13.8" x14ac:dyDescent="0.25">
      <c r="A39" s="208"/>
      <c r="B39" s="293"/>
      <c r="C39" s="153"/>
      <c r="D39" s="388" t="str">
        <f>D8</f>
        <v xml:space="preserve">JOEL BARZILAI JIMENEZ AGUIRRE </v>
      </c>
      <c r="E39" s="360"/>
      <c r="F39" s="361"/>
      <c r="G39" s="362"/>
      <c r="H39" s="157">
        <v>2874</v>
      </c>
      <c r="I39" s="155">
        <v>45924</v>
      </c>
      <c r="J39" s="156" t="s">
        <v>72</v>
      </c>
      <c r="K39" s="157">
        <v>2874</v>
      </c>
      <c r="L39" s="155">
        <v>45936</v>
      </c>
      <c r="M39" s="156">
        <v>35874695</v>
      </c>
      <c r="N39" s="157">
        <v>2874</v>
      </c>
      <c r="O39" s="155">
        <v>45967</v>
      </c>
      <c r="P39" s="156">
        <v>7895461237</v>
      </c>
      <c r="Q39" s="157">
        <v>2874</v>
      </c>
      <c r="R39" s="155">
        <v>46065</v>
      </c>
      <c r="S39" s="156">
        <v>57813739</v>
      </c>
      <c r="T39" s="157">
        <v>2874</v>
      </c>
      <c r="U39" s="155">
        <v>46065</v>
      </c>
      <c r="V39" s="156">
        <v>57813739</v>
      </c>
      <c r="W39" s="370"/>
      <c r="X39" s="357"/>
      <c r="Y39" s="358"/>
      <c r="Z39" s="157">
        <v>2874</v>
      </c>
      <c r="AA39" s="155">
        <v>46065</v>
      </c>
      <c r="AB39" s="156">
        <v>57813739</v>
      </c>
      <c r="AC39" s="157">
        <v>2874</v>
      </c>
      <c r="AD39" s="158">
        <v>46189</v>
      </c>
      <c r="AE39" s="159">
        <v>98210394</v>
      </c>
      <c r="AF39" s="157">
        <v>2874</v>
      </c>
      <c r="AG39" s="158" t="s">
        <v>828</v>
      </c>
      <c r="AH39" s="159">
        <v>98210394</v>
      </c>
      <c r="AI39" s="157"/>
      <c r="AJ39" s="158"/>
      <c r="AK39" s="156" t="s">
        <v>713</v>
      </c>
      <c r="AL39" s="157"/>
      <c r="AM39" s="158"/>
      <c r="AN39" s="156" t="s">
        <v>713</v>
      </c>
    </row>
    <row r="40" spans="1:41" s="194" customFormat="1" ht="13.8" x14ac:dyDescent="0.25">
      <c r="A40" s="208" t="s">
        <v>425</v>
      </c>
      <c r="B40" s="290" t="s">
        <v>418</v>
      </c>
      <c r="C40" s="103"/>
      <c r="D40" s="188" t="str">
        <f t="shared" ref="D40:D43" si="0">D9</f>
        <v xml:space="preserve">BRYAN YAEL RODRÍGUEZ LOPEZ </v>
      </c>
      <c r="E40" s="259">
        <v>2470</v>
      </c>
      <c r="F40" s="115">
        <v>45897</v>
      </c>
      <c r="G40" s="166">
        <v>2808250</v>
      </c>
      <c r="H40" s="162">
        <v>2470</v>
      </c>
      <c r="I40" s="108">
        <v>45901</v>
      </c>
      <c r="J40" s="161">
        <v>109250</v>
      </c>
      <c r="K40" s="162">
        <v>2470</v>
      </c>
      <c r="L40" s="108">
        <v>45936</v>
      </c>
      <c r="M40" s="161">
        <v>50116952</v>
      </c>
      <c r="N40" s="162">
        <v>2475</v>
      </c>
      <c r="O40" s="108">
        <v>45961</v>
      </c>
      <c r="P40" s="161">
        <v>59792500</v>
      </c>
      <c r="Q40" s="162">
        <v>2475</v>
      </c>
      <c r="R40" s="108">
        <v>46001</v>
      </c>
      <c r="S40" s="161">
        <v>50116952</v>
      </c>
      <c r="T40" s="162">
        <v>2475</v>
      </c>
      <c r="U40" s="108">
        <v>46001</v>
      </c>
      <c r="V40" s="161">
        <v>50116952</v>
      </c>
      <c r="W40" s="345"/>
      <c r="X40" s="318"/>
      <c r="Y40" s="319"/>
      <c r="Z40" s="162">
        <v>2474</v>
      </c>
      <c r="AA40" s="108">
        <v>46057</v>
      </c>
      <c r="AB40" s="164">
        <v>402260</v>
      </c>
      <c r="AC40" s="162">
        <v>3000</v>
      </c>
      <c r="AD40" s="108">
        <v>46106</v>
      </c>
      <c r="AE40" s="164">
        <v>2503262</v>
      </c>
      <c r="AF40" s="162">
        <v>2475</v>
      </c>
      <c r="AG40" s="108">
        <v>46114</v>
      </c>
      <c r="AH40" s="164">
        <v>7882400</v>
      </c>
      <c r="AI40" s="162">
        <v>2500</v>
      </c>
      <c r="AJ40" s="108">
        <v>46146</v>
      </c>
      <c r="AK40" s="161">
        <v>594694</v>
      </c>
      <c r="AL40" s="162">
        <v>2475</v>
      </c>
      <c r="AM40" s="108">
        <v>46174</v>
      </c>
      <c r="AN40" s="161">
        <v>88650517</v>
      </c>
      <c r="AO40" s="194" t="s">
        <v>822</v>
      </c>
    </row>
    <row r="41" spans="1:41" s="194" customFormat="1" ht="13.8" x14ac:dyDescent="0.25">
      <c r="A41" s="208"/>
      <c r="B41" s="290"/>
      <c r="C41" s="103"/>
      <c r="D41" s="188" t="str">
        <f t="shared" si="0"/>
        <v>ZION USCANCA VAZQUEZ</v>
      </c>
      <c r="E41" s="345"/>
      <c r="F41" s="318"/>
      <c r="G41" s="346"/>
      <c r="H41" s="162">
        <v>3167</v>
      </c>
      <c r="I41" s="108">
        <v>45902</v>
      </c>
      <c r="J41" s="161">
        <v>7772180</v>
      </c>
      <c r="K41" s="162">
        <v>3167</v>
      </c>
      <c r="L41" s="108">
        <v>45933</v>
      </c>
      <c r="M41" s="161">
        <v>45241865</v>
      </c>
      <c r="N41" s="162">
        <v>3167</v>
      </c>
      <c r="O41" s="108">
        <v>45964</v>
      </c>
      <c r="P41" s="161">
        <v>65276465</v>
      </c>
      <c r="Q41" s="162">
        <v>3167</v>
      </c>
      <c r="R41" s="108">
        <v>45993</v>
      </c>
      <c r="S41" s="161">
        <v>23989659</v>
      </c>
      <c r="T41" s="162">
        <v>3167</v>
      </c>
      <c r="U41" s="108">
        <v>46358</v>
      </c>
      <c r="V41" s="161">
        <v>85763352</v>
      </c>
      <c r="W41" s="345"/>
      <c r="X41" s="318"/>
      <c r="Y41" s="319"/>
      <c r="Z41" s="162">
        <v>3167</v>
      </c>
      <c r="AA41" s="108">
        <v>46055</v>
      </c>
      <c r="AB41" s="164">
        <v>85234424</v>
      </c>
      <c r="AC41" s="162">
        <v>3167</v>
      </c>
      <c r="AD41" s="108">
        <v>46083</v>
      </c>
      <c r="AE41" s="164">
        <v>85234424</v>
      </c>
      <c r="AF41" s="162">
        <v>3167</v>
      </c>
      <c r="AG41" s="108">
        <v>46115</v>
      </c>
      <c r="AH41" s="164">
        <v>83709025</v>
      </c>
      <c r="AI41" s="162">
        <v>3167</v>
      </c>
      <c r="AJ41" s="108">
        <v>46146</v>
      </c>
      <c r="AK41" s="161">
        <v>25417070</v>
      </c>
      <c r="AL41" s="162">
        <v>3167</v>
      </c>
      <c r="AM41" s="108">
        <v>46175</v>
      </c>
      <c r="AN41" s="161">
        <v>66053735</v>
      </c>
      <c r="AO41" s="194" t="s">
        <v>822</v>
      </c>
    </row>
    <row r="42" spans="1:41" s="194" customFormat="1" ht="13.8" x14ac:dyDescent="0.25">
      <c r="A42" s="208"/>
      <c r="B42" s="290"/>
      <c r="C42" s="103"/>
      <c r="D42" s="188" t="str">
        <f t="shared" si="0"/>
        <v>JORGE GABRIEL SALVADOR MARTINEZ</v>
      </c>
      <c r="E42" s="317"/>
      <c r="F42" s="318"/>
      <c r="G42" s="319"/>
      <c r="H42" s="162">
        <v>2771</v>
      </c>
      <c r="I42" s="108">
        <v>45918</v>
      </c>
      <c r="J42" s="161">
        <v>9331418</v>
      </c>
      <c r="K42" s="162">
        <v>2771</v>
      </c>
      <c r="L42" s="108">
        <v>45936</v>
      </c>
      <c r="M42" s="701">
        <v>87895715</v>
      </c>
      <c r="N42" s="162">
        <v>2771</v>
      </c>
      <c r="O42" s="108">
        <v>45936</v>
      </c>
      <c r="P42" s="701">
        <v>87895715</v>
      </c>
      <c r="Q42" s="162">
        <v>2771</v>
      </c>
      <c r="R42" s="108">
        <v>45994</v>
      </c>
      <c r="S42" s="701">
        <v>51489777</v>
      </c>
      <c r="T42" s="162">
        <v>2771</v>
      </c>
      <c r="U42" s="108">
        <v>46037</v>
      </c>
      <c r="V42" s="161">
        <v>20820949</v>
      </c>
      <c r="W42" s="345"/>
      <c r="X42" s="318"/>
      <c r="Y42" s="319"/>
      <c r="Z42" s="162">
        <v>2771</v>
      </c>
      <c r="AA42" s="108">
        <v>46056</v>
      </c>
      <c r="AB42" s="164">
        <v>125169</v>
      </c>
      <c r="AC42" s="162">
        <v>2771</v>
      </c>
      <c r="AD42" s="108">
        <v>46056</v>
      </c>
      <c r="AE42" s="164">
        <v>125169</v>
      </c>
      <c r="AF42" s="162">
        <v>2771</v>
      </c>
      <c r="AG42" s="108">
        <v>46110</v>
      </c>
      <c r="AH42" s="164">
        <v>465671</v>
      </c>
      <c r="AI42" s="162">
        <v>2771</v>
      </c>
      <c r="AJ42" s="108">
        <v>46110</v>
      </c>
      <c r="AK42" s="164">
        <v>465671</v>
      </c>
      <c r="AL42" s="162">
        <v>2771</v>
      </c>
      <c r="AM42" s="108">
        <v>46163</v>
      </c>
      <c r="AN42" s="161" t="s">
        <v>730</v>
      </c>
      <c r="AO42" s="194" t="s">
        <v>822</v>
      </c>
    </row>
    <row r="43" spans="1:41" s="194" customFormat="1" ht="15.6" customHeight="1" x14ac:dyDescent="0.25">
      <c r="A43" s="208"/>
      <c r="B43" s="290"/>
      <c r="C43" s="103"/>
      <c r="D43" s="188" t="str">
        <f t="shared" si="0"/>
        <v>HECTOR MANUEL PONCE SANTIAGO</v>
      </c>
      <c r="E43" s="160">
        <v>2309</v>
      </c>
      <c r="F43" s="108">
        <v>45873</v>
      </c>
      <c r="G43" s="244">
        <v>3130298</v>
      </c>
      <c r="H43" s="162">
        <v>2309</v>
      </c>
      <c r="I43" s="108">
        <v>45901</v>
      </c>
      <c r="J43" s="244">
        <v>258526</v>
      </c>
      <c r="K43" s="162">
        <v>2309</v>
      </c>
      <c r="L43" s="108">
        <v>45933</v>
      </c>
      <c r="M43" s="244">
        <v>389024</v>
      </c>
      <c r="N43" s="162">
        <v>2309</v>
      </c>
      <c r="O43" s="108">
        <v>45966</v>
      </c>
      <c r="P43" s="244">
        <v>4492035</v>
      </c>
      <c r="Q43" s="345"/>
      <c r="R43" s="318"/>
      <c r="S43" s="368"/>
      <c r="T43" s="345"/>
      <c r="U43" s="318"/>
      <c r="V43" s="368"/>
      <c r="W43" s="345"/>
      <c r="X43" s="318"/>
      <c r="Y43" s="319"/>
      <c r="Z43" s="345"/>
      <c r="AA43" s="318"/>
      <c r="AB43" s="371"/>
      <c r="AC43" s="345"/>
      <c r="AD43" s="318"/>
      <c r="AE43" s="371"/>
      <c r="AF43" s="345"/>
      <c r="AG43" s="318"/>
      <c r="AH43" s="371"/>
      <c r="AI43" s="162"/>
      <c r="AJ43" s="108"/>
      <c r="AK43" s="161"/>
      <c r="AL43" s="162"/>
      <c r="AM43" s="108"/>
      <c r="AN43" s="161"/>
    </row>
    <row r="44" spans="1:41" s="194" customFormat="1" ht="13.8" x14ac:dyDescent="0.25">
      <c r="A44" s="208"/>
      <c r="B44" s="290"/>
      <c r="C44" s="103"/>
      <c r="D44" s="188" t="str">
        <f t="shared" ref="D44:D49" si="1">D13</f>
        <v>EMILIANO PEREZ VELAZQUEZ</v>
      </c>
      <c r="E44" s="345"/>
      <c r="F44" s="318"/>
      <c r="G44" s="346"/>
      <c r="H44" s="162">
        <v>2770</v>
      </c>
      <c r="I44" s="108">
        <v>45906</v>
      </c>
      <c r="J44" s="161">
        <v>17462271</v>
      </c>
      <c r="K44" s="162">
        <v>2770</v>
      </c>
      <c r="L44" s="108">
        <v>45936</v>
      </c>
      <c r="M44" s="161">
        <v>910250</v>
      </c>
      <c r="N44" s="345"/>
      <c r="O44" s="318"/>
      <c r="P44" s="319"/>
      <c r="Q44" s="345"/>
      <c r="R44" s="318"/>
      <c r="S44" s="359"/>
      <c r="T44" s="162">
        <v>2770</v>
      </c>
      <c r="U44" s="108">
        <v>46027</v>
      </c>
      <c r="V44" s="164">
        <v>50117946</v>
      </c>
      <c r="W44" s="345"/>
      <c r="X44" s="318"/>
      <c r="Y44" s="319"/>
      <c r="Z44" s="162">
        <v>2770</v>
      </c>
      <c r="AA44" s="108">
        <v>46082</v>
      </c>
      <c r="AB44" s="164">
        <v>73962594</v>
      </c>
      <c r="AC44" s="162">
        <v>2770</v>
      </c>
      <c r="AD44" s="108">
        <v>46124</v>
      </c>
      <c r="AE44" s="164">
        <v>90570999</v>
      </c>
      <c r="AF44" s="162">
        <v>2770</v>
      </c>
      <c r="AG44" s="108">
        <v>46133</v>
      </c>
      <c r="AH44" s="164">
        <v>52112992</v>
      </c>
      <c r="AI44" s="162">
        <v>2770</v>
      </c>
      <c r="AJ44" s="108">
        <v>46148</v>
      </c>
      <c r="AK44" s="161">
        <v>11610122</v>
      </c>
      <c r="AL44" s="162">
        <v>2770</v>
      </c>
      <c r="AM44" s="108">
        <v>46177</v>
      </c>
      <c r="AN44" s="161">
        <v>45676335</v>
      </c>
      <c r="AO44" s="194" t="s">
        <v>822</v>
      </c>
    </row>
    <row r="45" spans="1:41" s="194" customFormat="1" ht="13.8" x14ac:dyDescent="0.25">
      <c r="A45" s="208"/>
      <c r="B45" s="290"/>
      <c r="C45" s="103"/>
      <c r="D45" s="188" t="str">
        <f t="shared" si="1"/>
        <v>ETHAN RAMIREZ ALOR</v>
      </c>
      <c r="E45" s="345"/>
      <c r="F45" s="318"/>
      <c r="G45" s="346"/>
      <c r="H45" s="162">
        <v>2640</v>
      </c>
      <c r="I45" s="108">
        <v>45906</v>
      </c>
      <c r="J45" s="165" t="s">
        <v>72</v>
      </c>
      <c r="K45" s="162">
        <v>2640</v>
      </c>
      <c r="L45" s="108">
        <v>45935</v>
      </c>
      <c r="M45" s="165" t="s">
        <v>72</v>
      </c>
      <c r="N45" s="162">
        <v>2640</v>
      </c>
      <c r="O45" s="108">
        <v>45966</v>
      </c>
      <c r="P45" s="165" t="s">
        <v>469</v>
      </c>
      <c r="Q45" s="162">
        <v>2640</v>
      </c>
      <c r="R45" s="108">
        <v>46002</v>
      </c>
      <c r="S45" s="165" t="s">
        <v>481</v>
      </c>
      <c r="T45" s="162">
        <v>3000</v>
      </c>
      <c r="U45" s="108">
        <v>46023</v>
      </c>
      <c r="V45" s="165" t="s">
        <v>505</v>
      </c>
      <c r="W45" s="345"/>
      <c r="X45" s="318"/>
      <c r="Y45" s="346"/>
      <c r="Z45" s="162">
        <v>3000</v>
      </c>
      <c r="AA45" s="108">
        <v>46058</v>
      </c>
      <c r="AB45" s="165" t="s">
        <v>494</v>
      </c>
      <c r="AC45" s="162">
        <v>3000</v>
      </c>
      <c r="AD45" s="108">
        <v>46084</v>
      </c>
      <c r="AE45" s="165" t="s">
        <v>506</v>
      </c>
      <c r="AF45" s="162">
        <v>3000</v>
      </c>
      <c r="AG45" s="108">
        <v>46127</v>
      </c>
      <c r="AH45" s="165" t="s">
        <v>511</v>
      </c>
      <c r="AI45" s="162">
        <v>3000</v>
      </c>
      <c r="AJ45" s="108">
        <v>46190</v>
      </c>
      <c r="AK45" s="161">
        <v>2357361</v>
      </c>
      <c r="AL45" s="162">
        <v>3000</v>
      </c>
      <c r="AM45" s="108">
        <v>46190</v>
      </c>
      <c r="AN45" s="161">
        <v>2357361</v>
      </c>
      <c r="AO45" s="194" t="s">
        <v>819</v>
      </c>
    </row>
    <row r="46" spans="1:41" s="194" customFormat="1" ht="18.600000000000001" customHeight="1" x14ac:dyDescent="0.25">
      <c r="A46" s="208"/>
      <c r="B46" s="290"/>
      <c r="C46" s="103" t="s">
        <v>444</v>
      </c>
      <c r="D46" s="1023" t="str">
        <f t="shared" si="1"/>
        <v xml:space="preserve">ASHLEY ALEXA TOTO MARTINEZ </v>
      </c>
      <c r="E46" s="345"/>
      <c r="F46" s="318"/>
      <c r="G46" s="319"/>
      <c r="H46" s="162">
        <v>3299</v>
      </c>
      <c r="I46" s="108">
        <v>45877</v>
      </c>
      <c r="J46" s="161" t="s">
        <v>443</v>
      </c>
      <c r="K46" s="162">
        <v>3299</v>
      </c>
      <c r="L46" s="108">
        <v>45877</v>
      </c>
      <c r="M46" s="161" t="s">
        <v>443</v>
      </c>
      <c r="N46" s="162">
        <v>3299</v>
      </c>
      <c r="O46" s="108">
        <v>45877</v>
      </c>
      <c r="P46" s="161" t="s">
        <v>470</v>
      </c>
      <c r="Q46" s="162">
        <v>3299</v>
      </c>
      <c r="R46" s="108">
        <v>45877</v>
      </c>
      <c r="S46" s="161" t="s">
        <v>470</v>
      </c>
      <c r="T46" s="162">
        <v>3299</v>
      </c>
      <c r="U46" s="108">
        <v>45877</v>
      </c>
      <c r="V46" s="161" t="s">
        <v>470</v>
      </c>
      <c r="W46" s="345"/>
      <c r="X46" s="318"/>
      <c r="Y46" s="319"/>
      <c r="Z46" s="162">
        <v>3299</v>
      </c>
      <c r="AA46" s="108">
        <v>45877</v>
      </c>
      <c r="AB46" s="161" t="s">
        <v>470</v>
      </c>
      <c r="AC46" s="162">
        <v>3299</v>
      </c>
      <c r="AD46" s="108">
        <v>45877</v>
      </c>
      <c r="AE46" s="161" t="s">
        <v>470</v>
      </c>
      <c r="AF46" s="162">
        <v>3299</v>
      </c>
      <c r="AG46" s="108">
        <v>45877</v>
      </c>
      <c r="AH46" s="164" t="s">
        <v>470</v>
      </c>
      <c r="AI46" s="162"/>
      <c r="AJ46" s="108"/>
      <c r="AK46" s="161"/>
      <c r="AL46" s="162"/>
      <c r="AM46" s="108"/>
      <c r="AN46" s="161"/>
    </row>
    <row r="47" spans="1:41" s="194" customFormat="1" ht="28.5" customHeight="1" x14ac:dyDescent="0.25">
      <c r="A47" s="208"/>
      <c r="B47" s="294"/>
      <c r="C47" s="103"/>
      <c r="D47" s="188" t="str">
        <f t="shared" si="1"/>
        <v>DAMIAN HERNANDEZ FLORES</v>
      </c>
      <c r="E47" s="162">
        <v>2705</v>
      </c>
      <c r="F47" s="108">
        <v>45932</v>
      </c>
      <c r="G47" s="161">
        <v>21025</v>
      </c>
      <c r="H47" s="162">
        <v>2705</v>
      </c>
      <c r="I47" s="108">
        <v>45932</v>
      </c>
      <c r="J47" s="161">
        <v>21025</v>
      </c>
      <c r="K47" s="162">
        <v>2705</v>
      </c>
      <c r="L47" s="108">
        <v>45932</v>
      </c>
      <c r="M47" s="161">
        <v>21025</v>
      </c>
      <c r="N47" s="162">
        <v>2705</v>
      </c>
      <c r="O47" s="108">
        <v>45964</v>
      </c>
      <c r="P47" s="161" t="s">
        <v>471</v>
      </c>
      <c r="Q47" s="162">
        <v>2705</v>
      </c>
      <c r="R47" s="108">
        <v>45995</v>
      </c>
      <c r="S47" s="161">
        <v>41225</v>
      </c>
      <c r="T47" s="162">
        <v>2705</v>
      </c>
      <c r="U47" s="108">
        <v>46023</v>
      </c>
      <c r="V47" s="164">
        <v>50126</v>
      </c>
      <c r="W47" s="162">
        <v>2705</v>
      </c>
      <c r="X47" s="108">
        <v>46023</v>
      </c>
      <c r="Y47" s="164">
        <v>50126</v>
      </c>
      <c r="Z47" s="162">
        <v>2705</v>
      </c>
      <c r="AA47" s="108">
        <v>46055</v>
      </c>
      <c r="AB47" s="164">
        <v>48799</v>
      </c>
      <c r="AC47" s="162">
        <v>2705</v>
      </c>
      <c r="AD47" s="108">
        <v>46086</v>
      </c>
      <c r="AE47" s="164">
        <v>4102</v>
      </c>
      <c r="AF47" s="162">
        <v>2705</v>
      </c>
      <c r="AG47" s="108">
        <v>46118</v>
      </c>
      <c r="AH47" s="164">
        <v>60426</v>
      </c>
      <c r="AI47" s="162">
        <v>2705</v>
      </c>
      <c r="AJ47" s="108">
        <v>46300</v>
      </c>
      <c r="AK47" s="161">
        <v>50526</v>
      </c>
      <c r="AL47" s="162">
        <v>2705</v>
      </c>
      <c r="AM47" s="108">
        <v>46177</v>
      </c>
      <c r="AN47" s="161">
        <v>8200533</v>
      </c>
      <c r="AO47" s="194" t="s">
        <v>819</v>
      </c>
    </row>
    <row r="48" spans="1:41" s="406" customFormat="1" ht="13.8" x14ac:dyDescent="0.25">
      <c r="A48" s="260"/>
      <c r="B48" s="401"/>
      <c r="C48" s="262"/>
      <c r="D48" s="1322" t="str">
        <f t="shared" si="1"/>
        <v>KENDRA ALEXANDRA PEREZ CRUZ</v>
      </c>
      <c r="E48" s="402"/>
      <c r="F48" s="403"/>
      <c r="G48" s="404"/>
      <c r="H48" s="162">
        <v>2309</v>
      </c>
      <c r="I48" s="108">
        <v>45905</v>
      </c>
      <c r="J48" s="161">
        <v>1375789930</v>
      </c>
      <c r="K48" s="162">
        <v>2309</v>
      </c>
      <c r="L48" s="108">
        <v>45935</v>
      </c>
      <c r="M48" s="161">
        <v>1487279540</v>
      </c>
      <c r="N48" s="162">
        <v>2309</v>
      </c>
      <c r="O48" s="108">
        <v>45965</v>
      </c>
      <c r="P48" s="161">
        <v>1598121268</v>
      </c>
      <c r="Q48" s="162">
        <v>2309</v>
      </c>
      <c r="R48" s="108">
        <v>45995</v>
      </c>
      <c r="S48" s="161">
        <v>61225</v>
      </c>
      <c r="T48" s="162">
        <v>2309</v>
      </c>
      <c r="U48" s="108">
        <v>46023</v>
      </c>
      <c r="V48" s="164">
        <v>1401260</v>
      </c>
      <c r="W48" s="345"/>
      <c r="X48" s="318"/>
      <c r="Y48" s="319"/>
      <c r="Z48" s="162">
        <v>2309</v>
      </c>
      <c r="AA48" s="108">
        <v>46085</v>
      </c>
      <c r="AB48" s="164">
        <v>2403260</v>
      </c>
      <c r="AC48" s="162">
        <v>2309</v>
      </c>
      <c r="AD48" s="108">
        <v>46085</v>
      </c>
      <c r="AE48" s="164">
        <v>2403261</v>
      </c>
      <c r="AF48" s="162">
        <v>2309</v>
      </c>
      <c r="AG48" s="108">
        <v>46124</v>
      </c>
      <c r="AH48" s="164">
        <v>55325755</v>
      </c>
      <c r="AI48" s="162">
        <v>2309</v>
      </c>
      <c r="AJ48" s="108">
        <v>46174</v>
      </c>
      <c r="AK48" s="161">
        <v>253218740</v>
      </c>
      <c r="AL48" s="394"/>
      <c r="AM48" s="405"/>
      <c r="AN48" s="701"/>
    </row>
    <row r="49" spans="1:41" s="194" customFormat="1" ht="13.8" x14ac:dyDescent="0.25">
      <c r="A49" s="208"/>
      <c r="B49" s="294"/>
      <c r="C49" s="103"/>
      <c r="D49" s="188" t="str">
        <f t="shared" si="1"/>
        <v>DARVIN GONZALEZ GOMEZ</v>
      </c>
      <c r="E49" s="345"/>
      <c r="F49" s="318"/>
      <c r="G49" s="359"/>
      <c r="H49" s="162">
        <v>2705</v>
      </c>
      <c r="I49" s="108">
        <v>45905</v>
      </c>
      <c r="J49" s="161">
        <v>110258</v>
      </c>
      <c r="K49" s="162">
        <v>2705</v>
      </c>
      <c r="L49" s="108">
        <v>45933</v>
      </c>
      <c r="M49" s="161">
        <v>820864</v>
      </c>
      <c r="N49" s="162">
        <v>2705</v>
      </c>
      <c r="O49" s="108">
        <v>45966</v>
      </c>
      <c r="P49" s="161">
        <v>90319986</v>
      </c>
      <c r="Q49" s="162">
        <v>2705</v>
      </c>
      <c r="R49" s="108">
        <v>45996</v>
      </c>
      <c r="S49" s="161" t="s">
        <v>482</v>
      </c>
      <c r="T49" s="162">
        <v>2705</v>
      </c>
      <c r="U49" s="108">
        <v>46027</v>
      </c>
      <c r="V49" s="164">
        <v>61259637</v>
      </c>
      <c r="W49" s="345"/>
      <c r="X49" s="318"/>
      <c r="Y49" s="319"/>
      <c r="Z49" s="162">
        <v>2705</v>
      </c>
      <c r="AA49" s="108">
        <v>46058</v>
      </c>
      <c r="AB49" s="164">
        <v>769588</v>
      </c>
      <c r="AC49" s="162">
        <v>2705</v>
      </c>
      <c r="AD49" s="108">
        <v>46084</v>
      </c>
      <c r="AE49" s="164">
        <v>68967456</v>
      </c>
      <c r="AF49" s="162">
        <v>2705</v>
      </c>
      <c r="AG49" s="108">
        <v>46117</v>
      </c>
      <c r="AH49" s="164">
        <v>13548219</v>
      </c>
      <c r="AI49" s="162">
        <v>2705</v>
      </c>
      <c r="AJ49" s="108">
        <v>46146</v>
      </c>
      <c r="AK49" s="161" t="s">
        <v>522</v>
      </c>
      <c r="AL49" s="162">
        <f>2075+630</f>
        <v>2705</v>
      </c>
      <c r="AM49" s="108">
        <v>46178</v>
      </c>
      <c r="AN49" s="161">
        <v>542095</v>
      </c>
      <c r="AO49" s="702" t="s">
        <v>819</v>
      </c>
    </row>
    <row r="50" spans="1:41" s="194" customFormat="1" ht="13.8" x14ac:dyDescent="0.25">
      <c r="A50" s="427"/>
      <c r="B50" s="321"/>
      <c r="C50" s="312"/>
      <c r="D50" s="428"/>
      <c r="E50" s="429"/>
      <c r="F50" s="316"/>
      <c r="G50" s="430"/>
      <c r="H50" s="431"/>
      <c r="I50" s="316"/>
      <c r="J50" s="432"/>
      <c r="K50" s="429"/>
      <c r="L50" s="316"/>
      <c r="M50" s="432"/>
      <c r="N50" s="429"/>
      <c r="O50" s="316"/>
      <c r="P50" s="432"/>
      <c r="Q50" s="429"/>
      <c r="R50" s="316"/>
      <c r="S50" s="432"/>
      <c r="T50" s="429"/>
      <c r="U50" s="316"/>
      <c r="V50" s="430"/>
      <c r="W50" s="429"/>
      <c r="X50" s="316"/>
      <c r="Y50" s="432"/>
      <c r="Z50" s="429"/>
      <c r="AA50" s="316"/>
      <c r="AB50" s="430"/>
      <c r="AC50" s="429"/>
      <c r="AD50" s="316"/>
      <c r="AE50" s="430"/>
      <c r="AF50" s="429"/>
      <c r="AG50" s="316"/>
      <c r="AH50" s="430"/>
      <c r="AI50" s="429"/>
      <c r="AJ50" s="316"/>
      <c r="AK50" s="433"/>
      <c r="AL50" s="429"/>
      <c r="AM50" s="316"/>
      <c r="AN50" s="430"/>
    </row>
    <row r="51" spans="1:41" s="208" customFormat="1" ht="13.8" x14ac:dyDescent="0.25">
      <c r="B51" s="110"/>
      <c r="C51" s="103"/>
      <c r="D51" s="104"/>
      <c r="E51" s="107"/>
      <c r="F51" s="108"/>
      <c r="G51" s="109"/>
      <c r="H51" s="434"/>
      <c r="I51" s="108"/>
      <c r="J51" s="109"/>
      <c r="K51" s="107"/>
      <c r="L51" s="108"/>
      <c r="M51" s="109"/>
      <c r="N51" s="107"/>
      <c r="O51" s="108"/>
      <c r="P51" s="109"/>
      <c r="Q51" s="107"/>
      <c r="R51" s="108"/>
      <c r="S51" s="109"/>
      <c r="T51" s="107"/>
      <c r="U51" s="108"/>
      <c r="V51" s="435"/>
      <c r="W51" s="107"/>
      <c r="X51" s="108"/>
      <c r="Y51" s="436"/>
      <c r="Z51" s="107"/>
      <c r="AA51" s="108"/>
      <c r="AB51" s="435"/>
      <c r="AC51" s="107"/>
      <c r="AD51" s="108"/>
      <c r="AE51" s="435"/>
      <c r="AF51" s="107"/>
      <c r="AG51" s="108"/>
      <c r="AH51" s="435"/>
      <c r="AI51" s="107"/>
      <c r="AJ51" s="108"/>
      <c r="AK51" s="437"/>
      <c r="AL51" s="107"/>
      <c r="AM51" s="108"/>
      <c r="AN51" s="435"/>
    </row>
    <row r="52" spans="1:41" s="208" customFormat="1" ht="13.8" x14ac:dyDescent="0.25">
      <c r="B52" s="103"/>
      <c r="C52" s="103"/>
      <c r="D52" s="104"/>
      <c r="E52" s="107"/>
      <c r="F52" s="108"/>
      <c r="G52" s="435"/>
      <c r="H52" s="434"/>
      <c r="I52" s="108"/>
      <c r="J52" s="109"/>
      <c r="K52" s="107"/>
      <c r="L52" s="108"/>
      <c r="M52" s="109"/>
      <c r="N52" s="107"/>
      <c r="O52" s="108"/>
      <c r="P52" s="109"/>
      <c r="Q52" s="107"/>
      <c r="R52" s="108"/>
      <c r="S52" s="109"/>
      <c r="T52" s="107"/>
      <c r="U52" s="108"/>
      <c r="V52" s="435"/>
      <c r="W52" s="107"/>
      <c r="X52" s="108"/>
      <c r="Y52" s="109"/>
      <c r="Z52" s="107"/>
      <c r="AA52" s="108"/>
      <c r="AB52" s="435"/>
      <c r="AC52" s="107"/>
      <c r="AD52" s="108"/>
      <c r="AE52" s="435"/>
      <c r="AF52" s="107"/>
      <c r="AG52" s="108"/>
      <c r="AH52" s="435"/>
      <c r="AI52" s="107"/>
      <c r="AJ52" s="108"/>
      <c r="AK52" s="437"/>
      <c r="AL52" s="107"/>
      <c r="AM52" s="108"/>
      <c r="AN52" s="435"/>
    </row>
    <row r="53" spans="1:41" s="208" customFormat="1" ht="13.8" x14ac:dyDescent="0.25">
      <c r="B53" s="110"/>
      <c r="C53" s="103"/>
      <c r="D53" s="104"/>
      <c r="E53" s="107"/>
      <c r="F53" s="108"/>
      <c r="G53" s="435"/>
      <c r="H53" s="235"/>
      <c r="I53" s="108"/>
      <c r="J53" s="435"/>
      <c r="K53" s="107"/>
      <c r="L53" s="108"/>
      <c r="M53" s="435"/>
      <c r="N53" s="107"/>
      <c r="O53" s="108"/>
      <c r="P53" s="435"/>
      <c r="Q53" s="107"/>
      <c r="R53" s="108"/>
      <c r="S53" s="435"/>
      <c r="T53" s="107"/>
      <c r="U53" s="108"/>
      <c r="V53" s="435"/>
      <c r="W53" s="107"/>
      <c r="X53" s="108"/>
      <c r="Y53" s="109"/>
      <c r="Z53" s="107"/>
      <c r="AA53" s="108"/>
      <c r="AB53" s="435"/>
      <c r="AC53" s="107"/>
      <c r="AD53" s="108"/>
      <c r="AE53" s="435"/>
      <c r="AF53" s="107"/>
      <c r="AG53" s="108"/>
      <c r="AH53" s="435"/>
      <c r="AI53" s="107"/>
      <c r="AJ53" s="108"/>
      <c r="AK53" s="437"/>
      <c r="AL53" s="107"/>
      <c r="AM53" s="108"/>
      <c r="AN53" s="435"/>
    </row>
    <row r="54" spans="1:41" s="208" customFormat="1" ht="13.8" x14ac:dyDescent="0.25">
      <c r="B54" s="103"/>
      <c r="C54" s="103"/>
      <c r="D54" s="104"/>
      <c r="E54" s="107"/>
      <c r="F54" s="108"/>
      <c r="G54" s="110"/>
      <c r="H54" s="235"/>
      <c r="I54" s="108"/>
      <c r="J54" s="110"/>
      <c r="K54" s="107"/>
      <c r="L54" s="108"/>
      <c r="M54" s="109"/>
      <c r="N54" s="107"/>
      <c r="O54" s="108"/>
      <c r="P54" s="109"/>
      <c r="Q54" s="107"/>
      <c r="R54" s="108"/>
      <c r="S54" s="435"/>
      <c r="T54" s="107"/>
      <c r="U54" s="108"/>
      <c r="V54" s="435"/>
      <c r="W54" s="107"/>
      <c r="X54" s="108"/>
      <c r="Y54" s="109"/>
      <c r="Z54" s="107"/>
      <c r="AA54" s="108"/>
      <c r="AB54" s="435"/>
      <c r="AC54" s="107"/>
      <c r="AD54" s="108"/>
      <c r="AE54" s="435"/>
      <c r="AF54" s="107"/>
      <c r="AG54" s="108"/>
      <c r="AH54" s="435"/>
      <c r="AI54" s="107"/>
      <c r="AJ54" s="108"/>
      <c r="AK54" s="437"/>
      <c r="AL54" s="107"/>
      <c r="AM54" s="108"/>
      <c r="AN54" s="435"/>
    </row>
    <row r="55" spans="1:41" s="208" customFormat="1" ht="25.5" customHeight="1" x14ac:dyDescent="0.25">
      <c r="B55" s="103"/>
      <c r="C55" s="103"/>
      <c r="D55" s="104"/>
      <c r="E55" s="107"/>
      <c r="F55" s="108"/>
      <c r="G55" s="435"/>
      <c r="H55" s="235"/>
      <c r="I55" s="108"/>
      <c r="J55" s="109"/>
      <c r="K55" s="107"/>
      <c r="L55" s="108"/>
      <c r="M55" s="109"/>
      <c r="N55" s="107"/>
      <c r="O55" s="108"/>
      <c r="P55" s="109"/>
      <c r="Q55" s="107"/>
      <c r="R55" s="108"/>
      <c r="S55" s="435"/>
      <c r="T55" s="107"/>
      <c r="U55" s="108"/>
      <c r="V55" s="109"/>
      <c r="W55" s="107"/>
      <c r="X55" s="108"/>
      <c r="Y55" s="109"/>
      <c r="Z55" s="107"/>
      <c r="AA55" s="108"/>
      <c r="AB55" s="435"/>
      <c r="AC55" s="107"/>
      <c r="AD55" s="108"/>
      <c r="AE55" s="435"/>
      <c r="AF55" s="107"/>
      <c r="AG55" s="108"/>
      <c r="AH55" s="435"/>
      <c r="AI55" s="107"/>
      <c r="AJ55" s="108"/>
      <c r="AK55" s="437"/>
      <c r="AL55" s="107"/>
      <c r="AM55" s="108"/>
      <c r="AN55" s="435"/>
    </row>
    <row r="56" spans="1:41" s="283" customFormat="1" x14ac:dyDescent="0.3">
      <c r="B56" s="103"/>
      <c r="C56" s="103"/>
      <c r="D56" s="104"/>
      <c r="E56" s="107"/>
      <c r="F56" s="108"/>
      <c r="G56" s="110"/>
      <c r="H56" s="235"/>
      <c r="I56" s="108"/>
      <c r="J56" s="109"/>
      <c r="K56" s="107"/>
      <c r="L56" s="108"/>
      <c r="M56" s="109"/>
      <c r="N56" s="107"/>
      <c r="O56" s="108"/>
      <c r="P56" s="109"/>
      <c r="Q56" s="107"/>
      <c r="R56" s="108"/>
      <c r="S56" s="435"/>
      <c r="T56" s="107"/>
      <c r="U56" s="108"/>
      <c r="V56" s="109"/>
      <c r="W56" s="107"/>
      <c r="X56" s="108"/>
      <c r="Y56" s="109"/>
      <c r="Z56" s="107"/>
      <c r="AA56" s="108"/>
      <c r="AB56" s="435"/>
      <c r="AC56" s="107"/>
      <c r="AD56" s="108"/>
      <c r="AE56" s="435"/>
      <c r="AF56" s="107"/>
      <c r="AG56" s="108"/>
      <c r="AH56" s="435"/>
      <c r="AI56" s="107"/>
      <c r="AJ56" s="108"/>
      <c r="AK56" s="437"/>
      <c r="AL56" s="107"/>
      <c r="AM56" s="108"/>
      <c r="AN56" s="435"/>
    </row>
    <row r="57" spans="1:41" s="283" customFormat="1" x14ac:dyDescent="0.3">
      <c r="B57" s="103"/>
      <c r="C57" s="103"/>
      <c r="D57" s="104"/>
      <c r="E57" s="107"/>
      <c r="F57" s="108"/>
      <c r="G57" s="435"/>
      <c r="H57" s="235"/>
      <c r="I57" s="108"/>
      <c r="J57" s="109"/>
      <c r="K57" s="107"/>
      <c r="L57" s="108"/>
      <c r="M57" s="109"/>
      <c r="N57" s="107"/>
      <c r="O57" s="108"/>
      <c r="P57" s="109"/>
      <c r="Q57" s="107"/>
      <c r="R57" s="108"/>
      <c r="S57" s="435"/>
      <c r="T57" s="107"/>
      <c r="U57" s="108"/>
      <c r="V57" s="109"/>
      <c r="W57" s="107"/>
      <c r="X57" s="108"/>
      <c r="Y57" s="109"/>
      <c r="Z57" s="107"/>
      <c r="AA57" s="108"/>
      <c r="AB57" s="435"/>
      <c r="AC57" s="107"/>
      <c r="AD57" s="108"/>
      <c r="AE57" s="435"/>
      <c r="AF57" s="107"/>
      <c r="AG57" s="108"/>
      <c r="AH57" s="435"/>
      <c r="AI57" s="107"/>
      <c r="AJ57" s="108"/>
      <c r="AK57" s="437"/>
      <c r="AL57" s="107"/>
      <c r="AM57" s="108"/>
      <c r="AN57" s="435"/>
    </row>
    <row r="58" spans="1:41" s="283" customFormat="1" ht="28.95" customHeight="1" x14ac:dyDescent="0.3">
      <c r="B58" s="103"/>
      <c r="C58" s="103"/>
      <c r="D58" s="104"/>
      <c r="E58" s="107"/>
      <c r="F58" s="108"/>
      <c r="G58" s="110"/>
      <c r="H58" s="235"/>
      <c r="I58" s="108"/>
      <c r="J58" s="109"/>
      <c r="K58" s="107"/>
      <c r="L58" s="108"/>
      <c r="M58" s="109"/>
      <c r="N58" s="107"/>
      <c r="O58" s="108"/>
      <c r="P58" s="109"/>
      <c r="Q58" s="107"/>
      <c r="R58" s="108"/>
      <c r="S58" s="435"/>
      <c r="T58" s="107"/>
      <c r="U58" s="108"/>
      <c r="V58" s="109"/>
      <c r="W58" s="107"/>
      <c r="X58" s="108"/>
      <c r="Y58" s="109"/>
      <c r="Z58" s="107"/>
      <c r="AA58" s="108"/>
      <c r="AB58" s="435"/>
      <c r="AC58" s="107"/>
      <c r="AD58" s="108"/>
      <c r="AE58" s="435"/>
      <c r="AF58" s="107"/>
      <c r="AG58" s="108"/>
      <c r="AH58" s="435"/>
      <c r="AI58" s="107"/>
      <c r="AJ58" s="108"/>
      <c r="AK58" s="437"/>
      <c r="AL58" s="107"/>
      <c r="AM58" s="108"/>
      <c r="AN58" s="435"/>
    </row>
    <row r="59" spans="1:41" s="283" customFormat="1" x14ac:dyDescent="0.3">
      <c r="B59" s="103"/>
      <c r="C59" s="103"/>
      <c r="D59" s="104"/>
      <c r="E59" s="107"/>
      <c r="F59" s="108"/>
      <c r="G59" s="435"/>
      <c r="H59" s="235"/>
      <c r="I59" s="108"/>
      <c r="J59" s="109"/>
      <c r="K59" s="107"/>
      <c r="L59" s="108"/>
      <c r="M59" s="109"/>
      <c r="N59" s="107"/>
      <c r="O59" s="108"/>
      <c r="P59" s="109"/>
      <c r="Q59" s="107"/>
      <c r="R59" s="108"/>
      <c r="S59" s="435"/>
      <c r="T59" s="107"/>
      <c r="U59" s="108"/>
      <c r="V59" s="109"/>
      <c r="W59" s="107"/>
      <c r="X59" s="108"/>
      <c r="Y59" s="109"/>
      <c r="Z59" s="107"/>
      <c r="AA59" s="108"/>
      <c r="AB59" s="435"/>
      <c r="AC59" s="107"/>
      <c r="AD59" s="108"/>
      <c r="AE59" s="435"/>
      <c r="AF59" s="107"/>
      <c r="AG59" s="108"/>
      <c r="AH59" s="435"/>
      <c r="AI59" s="107"/>
      <c r="AJ59" s="108"/>
      <c r="AK59" s="437"/>
      <c r="AL59" s="107"/>
      <c r="AM59" s="108"/>
      <c r="AN59" s="435"/>
    </row>
    <row r="60" spans="1:41" s="283" customFormat="1" x14ac:dyDescent="0.3">
      <c r="B60" s="103"/>
      <c r="C60" s="103"/>
      <c r="D60" s="104"/>
      <c r="E60" s="107"/>
      <c r="F60" s="108"/>
      <c r="G60" s="435"/>
      <c r="H60" s="235"/>
      <c r="I60" s="108"/>
      <c r="J60" s="109"/>
      <c r="K60" s="107"/>
      <c r="L60" s="108"/>
      <c r="M60" s="109"/>
      <c r="N60" s="107"/>
      <c r="O60" s="108"/>
      <c r="P60" s="109"/>
      <c r="Q60" s="107"/>
      <c r="R60" s="108"/>
      <c r="S60" s="435"/>
      <c r="T60" s="107"/>
      <c r="U60" s="108"/>
      <c r="V60" s="109"/>
      <c r="W60" s="107"/>
      <c r="X60" s="108"/>
      <c r="Y60" s="109"/>
      <c r="Z60" s="107"/>
      <c r="AA60" s="108"/>
      <c r="AB60" s="435"/>
      <c r="AC60" s="107"/>
      <c r="AD60" s="108"/>
      <c r="AE60" s="435"/>
      <c r="AF60" s="107"/>
      <c r="AG60" s="108"/>
      <c r="AH60" s="435"/>
      <c r="AI60" s="107"/>
      <c r="AJ60" s="108"/>
      <c r="AK60" s="437"/>
      <c r="AL60" s="107"/>
      <c r="AM60" s="108"/>
      <c r="AN60" s="435"/>
    </row>
    <row r="61" spans="1:41" s="283" customFormat="1" x14ac:dyDescent="0.3">
      <c r="B61" s="103"/>
      <c r="C61" s="103"/>
      <c r="D61" s="104"/>
      <c r="E61" s="107"/>
      <c r="F61" s="108"/>
      <c r="G61" s="435"/>
      <c r="H61" s="235"/>
      <c r="I61" s="108"/>
      <c r="J61" s="109"/>
      <c r="K61" s="107"/>
      <c r="L61" s="108"/>
      <c r="M61" s="109"/>
      <c r="N61" s="107"/>
      <c r="O61" s="108"/>
      <c r="P61" s="109"/>
      <c r="Q61" s="107"/>
      <c r="R61" s="108"/>
      <c r="S61" s="435"/>
      <c r="T61" s="107"/>
      <c r="U61" s="108"/>
      <c r="V61" s="109"/>
      <c r="W61" s="107"/>
      <c r="X61" s="108"/>
      <c r="Y61" s="109"/>
      <c r="Z61" s="107"/>
      <c r="AA61" s="108"/>
      <c r="AB61" s="435"/>
      <c r="AC61" s="107"/>
      <c r="AD61" s="108"/>
      <c r="AE61" s="435"/>
      <c r="AF61" s="107"/>
      <c r="AG61" s="108"/>
      <c r="AH61" s="435"/>
      <c r="AI61" s="107"/>
      <c r="AJ61" s="108"/>
      <c r="AK61" s="437"/>
      <c r="AL61" s="107"/>
      <c r="AM61" s="108"/>
      <c r="AN61" s="435"/>
    </row>
    <row r="62" spans="1:41" s="283" customFormat="1" x14ac:dyDescent="0.3">
      <c r="B62" s="103"/>
      <c r="C62" s="103"/>
      <c r="D62" s="104"/>
      <c r="E62" s="107"/>
      <c r="F62" s="108"/>
      <c r="G62" s="435"/>
      <c r="H62" s="235"/>
      <c r="I62" s="108"/>
      <c r="J62" s="109"/>
      <c r="K62" s="107"/>
      <c r="L62" s="108"/>
      <c r="M62" s="109"/>
      <c r="N62" s="107"/>
      <c r="O62" s="108"/>
      <c r="P62" s="109"/>
      <c r="Q62" s="107"/>
      <c r="R62" s="108"/>
      <c r="S62" s="435"/>
      <c r="T62" s="107"/>
      <c r="U62" s="108"/>
      <c r="V62" s="109"/>
      <c r="W62" s="107"/>
      <c r="X62" s="108"/>
      <c r="Y62" s="109"/>
      <c r="Z62" s="107"/>
      <c r="AA62" s="108"/>
      <c r="AB62" s="435"/>
      <c r="AC62" s="107"/>
      <c r="AD62" s="108"/>
      <c r="AE62" s="435"/>
      <c r="AF62" s="107"/>
      <c r="AG62" s="108"/>
      <c r="AH62" s="435"/>
      <c r="AI62" s="107"/>
      <c r="AJ62" s="108"/>
      <c r="AK62" s="437"/>
      <c r="AL62" s="107"/>
      <c r="AM62" s="108"/>
      <c r="AN62" s="435"/>
    </row>
    <row r="63" spans="1:41" s="283" customFormat="1" x14ac:dyDescent="0.3">
      <c r="B63" s="103"/>
      <c r="C63" s="103"/>
      <c r="D63" s="104"/>
      <c r="E63" s="107"/>
      <c r="F63" s="108"/>
      <c r="G63" s="435"/>
      <c r="H63" s="235"/>
      <c r="I63" s="108"/>
      <c r="J63" s="109"/>
      <c r="K63" s="107"/>
      <c r="L63" s="108"/>
      <c r="M63" s="109"/>
      <c r="N63" s="107"/>
      <c r="O63" s="108"/>
      <c r="P63" s="109"/>
      <c r="Q63" s="107"/>
      <c r="R63" s="108"/>
      <c r="S63" s="435"/>
      <c r="T63" s="107"/>
      <c r="U63" s="108"/>
      <c r="V63" s="109"/>
      <c r="W63" s="107"/>
      <c r="X63" s="108"/>
      <c r="Y63" s="109"/>
      <c r="Z63" s="107"/>
      <c r="AA63" s="108"/>
      <c r="AB63" s="435"/>
      <c r="AC63" s="107"/>
      <c r="AD63" s="108"/>
      <c r="AE63" s="435"/>
      <c r="AF63" s="107"/>
      <c r="AG63" s="108"/>
      <c r="AH63" s="435"/>
      <c r="AI63" s="107"/>
      <c r="AJ63" s="108"/>
      <c r="AK63" s="437"/>
      <c r="AL63" s="107"/>
      <c r="AM63" s="108"/>
      <c r="AN63" s="435"/>
    </row>
    <row r="64" spans="1:41" s="283" customFormat="1" x14ac:dyDescent="0.3">
      <c r="B64" s="103"/>
      <c r="C64" s="103"/>
      <c r="D64" s="104"/>
      <c r="E64" s="107"/>
      <c r="F64" s="108"/>
      <c r="G64" s="435"/>
      <c r="H64" s="235"/>
      <c r="I64" s="108"/>
      <c r="J64" s="109"/>
      <c r="K64" s="107"/>
      <c r="L64" s="108"/>
      <c r="M64" s="109"/>
      <c r="N64" s="107"/>
      <c r="O64" s="108"/>
      <c r="P64" s="109"/>
      <c r="Q64" s="107"/>
      <c r="R64" s="108"/>
      <c r="S64" s="109"/>
      <c r="T64" s="107"/>
      <c r="U64" s="108"/>
      <c r="V64" s="109"/>
      <c r="W64" s="107"/>
      <c r="X64" s="108"/>
      <c r="Y64" s="109"/>
      <c r="Z64" s="107"/>
      <c r="AA64" s="108"/>
      <c r="AB64" s="435"/>
      <c r="AC64" s="107"/>
      <c r="AD64" s="108"/>
      <c r="AE64" s="435"/>
      <c r="AF64" s="107"/>
      <c r="AG64" s="108"/>
      <c r="AH64" s="435"/>
      <c r="AI64" s="107"/>
      <c r="AJ64" s="108"/>
      <c r="AK64" s="437"/>
      <c r="AL64" s="107"/>
      <c r="AM64" s="108"/>
      <c r="AN64" s="435"/>
    </row>
    <row r="65" spans="2:40" s="283" customFormat="1" x14ac:dyDescent="0.3">
      <c r="B65" s="103"/>
      <c r="C65" s="103"/>
      <c r="D65" s="104"/>
      <c r="E65" s="107"/>
      <c r="F65" s="108"/>
      <c r="G65" s="435"/>
      <c r="H65" s="235"/>
      <c r="I65" s="108"/>
      <c r="J65" s="109"/>
      <c r="K65" s="107"/>
      <c r="L65" s="108"/>
      <c r="M65" s="109"/>
      <c r="N65" s="107"/>
      <c r="O65" s="108"/>
      <c r="P65" s="109"/>
      <c r="Q65" s="107"/>
      <c r="R65" s="108"/>
      <c r="S65" s="435"/>
      <c r="T65" s="107"/>
      <c r="U65" s="108"/>
      <c r="V65" s="109"/>
      <c r="W65" s="107"/>
      <c r="X65" s="108"/>
      <c r="Y65" s="109"/>
      <c r="Z65" s="107"/>
      <c r="AA65" s="108"/>
      <c r="AB65" s="435"/>
      <c r="AC65" s="107"/>
      <c r="AD65" s="108"/>
      <c r="AE65" s="435"/>
      <c r="AF65" s="107"/>
      <c r="AG65" s="108"/>
      <c r="AH65" s="435"/>
      <c r="AI65" s="107"/>
      <c r="AJ65" s="108"/>
      <c r="AK65" s="437"/>
      <c r="AL65" s="107"/>
      <c r="AM65" s="108"/>
      <c r="AN65" s="435"/>
    </row>
    <row r="66" spans="2:40" s="283" customFormat="1" x14ac:dyDescent="0.3">
      <c r="B66" s="103"/>
      <c r="C66" s="103"/>
      <c r="D66" s="104"/>
      <c r="E66" s="107"/>
      <c r="F66" s="108"/>
      <c r="G66" s="435"/>
      <c r="H66" s="235"/>
      <c r="I66" s="108"/>
      <c r="J66" s="109"/>
      <c r="K66" s="107"/>
      <c r="L66" s="108"/>
      <c r="M66" s="109"/>
      <c r="N66" s="107"/>
      <c r="O66" s="108"/>
      <c r="P66" s="109"/>
      <c r="Q66" s="107"/>
      <c r="R66" s="108"/>
      <c r="S66" s="435"/>
      <c r="T66" s="107"/>
      <c r="U66" s="108"/>
      <c r="V66" s="109"/>
      <c r="W66" s="107"/>
      <c r="X66" s="108"/>
      <c r="Y66" s="109"/>
      <c r="Z66" s="107"/>
      <c r="AA66" s="108"/>
      <c r="AB66" s="435"/>
      <c r="AC66" s="107"/>
      <c r="AD66" s="108"/>
      <c r="AE66" s="435"/>
      <c r="AF66" s="107"/>
      <c r="AG66" s="108"/>
      <c r="AH66" s="435"/>
      <c r="AI66" s="107"/>
      <c r="AJ66" s="108"/>
      <c r="AK66" s="437"/>
      <c r="AL66" s="107"/>
      <c r="AM66" s="108"/>
      <c r="AN66" s="435"/>
    </row>
  </sheetData>
  <mergeCells count="21">
    <mergeCell ref="S4:U4"/>
    <mergeCell ref="F4:Q4"/>
    <mergeCell ref="S1:U1"/>
    <mergeCell ref="F2:Q2"/>
    <mergeCell ref="S2:U2"/>
    <mergeCell ref="F3:Q3"/>
    <mergeCell ref="S3:U3"/>
    <mergeCell ref="F1:Q1"/>
    <mergeCell ref="AF37:AH37"/>
    <mergeCell ref="AC37:AE37"/>
    <mergeCell ref="AI37:AK37"/>
    <mergeCell ref="AL37:AN37"/>
    <mergeCell ref="B36:AN36"/>
    <mergeCell ref="E37:G37"/>
    <mergeCell ref="H37:J37"/>
    <mergeCell ref="K37:M37"/>
    <mergeCell ref="N37:P37"/>
    <mergeCell ref="Q37:S37"/>
    <mergeCell ref="T37:V37"/>
    <mergeCell ref="W37:Y37"/>
    <mergeCell ref="Z37:AB37"/>
  </mergeCells>
  <conditionalFormatting sqref="E39:AN54 E55:I55 K55:AN55 E56:AN66">
    <cfRule type="notContainsBlanks" dxfId="11" priority="3">
      <formula>LEN(TRIM(E39))&gt;0</formula>
    </cfRule>
  </conditionalFormatting>
  <conditionalFormatting sqref="F8:T34">
    <cfRule type="notContainsBlanks" dxfId="10" priority="2">
      <formula>LEN(TRIM(F8))&gt;0</formula>
    </cfRule>
  </conditionalFormatting>
  <conditionalFormatting sqref="J55">
    <cfRule type="notContainsBlanks" dxfId="9" priority="1">
      <formula>LEN(TRIM(J55))&gt;0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67"/>
  <sheetViews>
    <sheetView zoomScale="99" zoomScaleNormal="99" workbookViewId="0">
      <pane xSplit="4" ySplit="1" topLeftCell="AF49" activePane="bottomRight" state="frozen"/>
      <selection pane="topRight" activeCell="E1" sqref="E1"/>
      <selection pane="bottomLeft" activeCell="A2" sqref="A2"/>
      <selection pane="bottomRight" activeCell="AG42" sqref="AG42"/>
    </sheetView>
  </sheetViews>
  <sheetFormatPr baseColWidth="10" defaultColWidth="11.44140625" defaultRowHeight="16.2" customHeight="1" x14ac:dyDescent="0.25"/>
  <cols>
    <col min="1" max="1" width="13.21875" style="439" bestFit="1" customWidth="1"/>
    <col min="2" max="2" width="3" style="439" customWidth="1"/>
    <col min="3" max="3" width="18.33203125" style="439" bestFit="1" customWidth="1"/>
    <col min="4" max="4" width="37.44140625" style="439" customWidth="1"/>
    <col min="5" max="5" width="16.5546875" style="439" customWidth="1"/>
    <col min="6" max="6" width="12" style="439" customWidth="1"/>
    <col min="7" max="7" width="28.77734375" style="439" customWidth="1"/>
    <col min="8" max="8" width="11.88671875" style="439" customWidth="1"/>
    <col min="9" max="9" width="11.44140625" style="439" customWidth="1"/>
    <col min="10" max="10" width="18.5546875" style="439" customWidth="1"/>
    <col min="11" max="11" width="21.77734375" style="439" customWidth="1"/>
    <col min="12" max="12" width="12.33203125" style="439" customWidth="1"/>
    <col min="13" max="13" width="18.109375" style="439" customWidth="1"/>
    <col min="14" max="14" width="23.44140625" style="439" customWidth="1"/>
    <col min="15" max="15" width="11.44140625" style="439" customWidth="1"/>
    <col min="16" max="16" width="18.5546875" style="439" customWidth="1"/>
    <col min="17" max="17" width="21.21875" style="439" bestFit="1" customWidth="1"/>
    <col min="18" max="18" width="14.44140625" style="439" customWidth="1"/>
    <col min="19" max="19" width="11.88671875" style="439" customWidth="1"/>
    <col min="20" max="20" width="20.44140625" style="439" bestFit="1" customWidth="1"/>
    <col min="21" max="21" width="11.88671875" style="439" bestFit="1" customWidth="1"/>
    <col min="22" max="22" width="17.5546875" style="439" customWidth="1"/>
    <col min="23" max="24" width="11.44140625" style="439" customWidth="1"/>
    <col min="25" max="25" width="12" style="439" customWidth="1"/>
    <col min="26" max="26" width="11.44140625" style="439" bestFit="1" customWidth="1"/>
    <col min="27" max="27" width="11.6640625" style="439" bestFit="1" customWidth="1"/>
    <col min="28" max="28" width="13.6640625" style="439" bestFit="1" customWidth="1"/>
    <col min="29" max="29" width="11.5546875" style="439" bestFit="1" customWidth="1"/>
    <col min="30" max="30" width="11.77734375" style="439" bestFit="1" customWidth="1"/>
    <col min="31" max="31" width="18" style="439" customWidth="1"/>
    <col min="32" max="32" width="11.5546875" style="439" bestFit="1" customWidth="1"/>
    <col min="33" max="33" width="11.77734375" style="439" bestFit="1" customWidth="1"/>
    <col min="34" max="34" width="19.77734375" style="439" customWidth="1"/>
    <col min="35" max="35" width="11.44140625" style="439" bestFit="1" customWidth="1"/>
    <col min="36" max="36" width="11.77734375" style="439" bestFit="1" customWidth="1"/>
    <col min="37" max="37" width="12.6640625" style="439" customWidth="1"/>
    <col min="38" max="38" width="10.44140625" style="439" bestFit="1" customWidth="1"/>
    <col min="39" max="39" width="10.5546875" style="439" bestFit="1" customWidth="1"/>
    <col min="40" max="40" width="11.5546875" style="439" customWidth="1"/>
    <col min="41" max="41" width="11.44140625" style="439"/>
    <col min="42" max="42" width="9.88671875" style="439" customWidth="1"/>
    <col min="43" max="43" width="13.77734375" style="439" customWidth="1"/>
    <col min="44" max="16384" width="11.44140625" style="439"/>
  </cols>
  <sheetData>
    <row r="1" spans="1:24" ht="16.2" customHeight="1" thickBot="1" x14ac:dyDescent="0.3">
      <c r="E1" s="440"/>
      <c r="F1" s="1403" t="s">
        <v>0</v>
      </c>
      <c r="G1" s="1403"/>
      <c r="H1" s="1403"/>
      <c r="I1" s="1403"/>
      <c r="J1" s="1403"/>
      <c r="K1" s="1403"/>
      <c r="L1" s="1403"/>
      <c r="M1" s="1403"/>
      <c r="N1" s="1403"/>
      <c r="O1" s="1403"/>
      <c r="P1" s="1403"/>
      <c r="Q1" s="1403"/>
      <c r="R1" s="441"/>
      <c r="S1" s="1393" t="s">
        <v>1</v>
      </c>
      <c r="T1" s="1393"/>
      <c r="U1" s="1394"/>
    </row>
    <row r="2" spans="1:24" ht="16.2" customHeight="1" thickBot="1" x14ac:dyDescent="0.3">
      <c r="E2" s="442"/>
      <c r="F2" s="1404" t="s">
        <v>2</v>
      </c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443"/>
      <c r="S2" s="1393" t="s">
        <v>3</v>
      </c>
      <c r="T2" s="1393"/>
      <c r="U2" s="1394"/>
    </row>
    <row r="3" spans="1:24" ht="16.2" customHeight="1" thickBot="1" x14ac:dyDescent="0.3">
      <c r="E3" s="444"/>
      <c r="F3" s="1392" t="s">
        <v>4</v>
      </c>
      <c r="G3" s="1392"/>
      <c r="H3" s="1392"/>
      <c r="I3" s="1392"/>
      <c r="J3" s="1392"/>
      <c r="K3" s="1392"/>
      <c r="L3" s="1392"/>
      <c r="M3" s="1392"/>
      <c r="N3" s="1392"/>
      <c r="O3" s="1392"/>
      <c r="P3" s="1392"/>
      <c r="Q3" s="1392"/>
      <c r="R3" s="445"/>
      <c r="S3" s="1393" t="s">
        <v>5</v>
      </c>
      <c r="T3" s="1393"/>
      <c r="U3" s="1394"/>
    </row>
    <row r="4" spans="1:24" ht="16.2" customHeight="1" thickBot="1" x14ac:dyDescent="0.3">
      <c r="C4" s="446"/>
      <c r="D4" s="9" t="s">
        <v>6</v>
      </c>
      <c r="F4" s="1392" t="s">
        <v>39</v>
      </c>
      <c r="G4" s="1392"/>
      <c r="H4" s="1392"/>
      <c r="I4" s="1392"/>
      <c r="J4" s="1392"/>
      <c r="K4" s="1392"/>
      <c r="L4" s="1392"/>
      <c r="M4" s="1392"/>
      <c r="N4" s="1392"/>
      <c r="O4" s="1392"/>
      <c r="P4" s="1392"/>
      <c r="Q4" s="1392"/>
      <c r="R4" s="447"/>
      <c r="S4" s="1393" t="s">
        <v>7</v>
      </c>
      <c r="T4" s="1393"/>
      <c r="U4" s="1394"/>
    </row>
    <row r="6" spans="1:24" ht="16.2" customHeight="1" thickBot="1" x14ac:dyDescent="0.3"/>
    <row r="7" spans="1:24" ht="16.2" customHeight="1" thickBot="1" x14ac:dyDescent="0.3">
      <c r="B7" s="10" t="s">
        <v>9</v>
      </c>
      <c r="C7" s="11" t="s">
        <v>10</v>
      </c>
      <c r="D7" s="448" t="s">
        <v>11</v>
      </c>
      <c r="E7" s="14" t="s">
        <v>12</v>
      </c>
      <c r="F7" s="92" t="s">
        <v>13</v>
      </c>
      <c r="G7" s="92" t="s">
        <v>14</v>
      </c>
      <c r="H7" s="93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449" t="s">
        <v>20</v>
      </c>
      <c r="V7" s="450" t="s">
        <v>21</v>
      </c>
      <c r="W7" s="451" t="s">
        <v>22</v>
      </c>
      <c r="X7" s="451" t="s">
        <v>38</v>
      </c>
    </row>
    <row r="8" spans="1:24" s="465" customFormat="1" ht="16.2" customHeight="1" x14ac:dyDescent="0.3">
      <c r="A8" s="197" t="s">
        <v>164</v>
      </c>
      <c r="B8" s="286"/>
      <c r="C8" s="138" t="s">
        <v>193</v>
      </c>
      <c r="D8" s="738" t="s">
        <v>62</v>
      </c>
      <c r="E8" s="454" t="s">
        <v>54</v>
      </c>
      <c r="F8" s="458">
        <v>1700</v>
      </c>
      <c r="G8" s="709">
        <v>5464753</v>
      </c>
      <c r="H8" s="708">
        <v>45638</v>
      </c>
      <c r="I8" s="458"/>
      <c r="J8" s="459"/>
      <c r="K8" s="460"/>
      <c r="L8" s="458"/>
      <c r="M8" s="459"/>
      <c r="N8" s="460"/>
      <c r="O8" s="458">
        <v>1000</v>
      </c>
      <c r="P8" s="459">
        <v>45871</v>
      </c>
      <c r="Q8" s="460">
        <v>20825</v>
      </c>
      <c r="R8" s="458"/>
      <c r="S8" s="459"/>
      <c r="T8" s="460"/>
      <c r="U8" s="461" t="s">
        <v>23</v>
      </c>
      <c r="V8" s="462">
        <v>0.3</v>
      </c>
      <c r="W8" s="463">
        <v>3958</v>
      </c>
      <c r="X8" s="464">
        <v>2770</v>
      </c>
    </row>
    <row r="9" spans="1:24" s="465" customFormat="1" ht="16.2" customHeight="1" x14ac:dyDescent="0.3">
      <c r="A9" s="197" t="s">
        <v>177</v>
      </c>
      <c r="B9" s="286"/>
      <c r="C9" s="138" t="s">
        <v>193</v>
      </c>
      <c r="D9" s="453" t="s">
        <v>61</v>
      </c>
      <c r="E9" s="454" t="s">
        <v>54</v>
      </c>
      <c r="F9" s="458">
        <v>1700</v>
      </c>
      <c r="G9" s="707">
        <v>774102</v>
      </c>
      <c r="H9" s="1025">
        <v>45642</v>
      </c>
      <c r="I9" s="458">
        <v>2890</v>
      </c>
      <c r="J9" s="459">
        <v>45882</v>
      </c>
      <c r="K9" s="460" t="s">
        <v>345</v>
      </c>
      <c r="L9" s="458">
        <v>2490</v>
      </c>
      <c r="M9" s="459">
        <v>45882</v>
      </c>
      <c r="N9" s="472" t="s">
        <v>346</v>
      </c>
      <c r="O9" s="458"/>
      <c r="P9" s="459"/>
      <c r="Q9" s="460"/>
      <c r="R9" s="458"/>
      <c r="S9" s="459"/>
      <c r="T9" s="460"/>
      <c r="U9" s="461" t="s">
        <v>23</v>
      </c>
      <c r="V9" s="462">
        <v>0.23</v>
      </c>
      <c r="W9" s="463">
        <v>3958</v>
      </c>
      <c r="X9" s="1112">
        <v>3048</v>
      </c>
    </row>
    <row r="10" spans="1:24" s="465" customFormat="1" ht="16.2" customHeight="1" x14ac:dyDescent="0.3">
      <c r="A10" s="197" t="s">
        <v>178</v>
      </c>
      <c r="B10" s="286"/>
      <c r="C10" s="138" t="s">
        <v>193</v>
      </c>
      <c r="D10" s="453" t="s">
        <v>73</v>
      </c>
      <c r="E10" s="454" t="s">
        <v>54</v>
      </c>
      <c r="F10" s="458">
        <v>1700</v>
      </c>
      <c r="G10" s="707">
        <v>8.5901055774336608E+16</v>
      </c>
      <c r="H10" s="708">
        <v>45657</v>
      </c>
      <c r="I10" s="458">
        <v>2890</v>
      </c>
      <c r="J10" s="459">
        <v>45781</v>
      </c>
      <c r="K10" s="460">
        <v>8.59073618143124E+16</v>
      </c>
      <c r="L10" s="458">
        <v>2490</v>
      </c>
      <c r="M10" s="459">
        <v>45895</v>
      </c>
      <c r="N10" s="707">
        <v>192259</v>
      </c>
      <c r="O10" s="458">
        <v>7200</v>
      </c>
      <c r="P10" s="459">
        <v>45901</v>
      </c>
      <c r="Q10" s="460">
        <v>8.5901284894324304E+16</v>
      </c>
      <c r="R10" s="458"/>
      <c r="S10" s="459"/>
      <c r="T10" s="460"/>
      <c r="U10" s="461" t="s">
        <v>211</v>
      </c>
      <c r="V10" s="462">
        <v>0.25</v>
      </c>
      <c r="W10" s="463">
        <v>3299</v>
      </c>
      <c r="X10" s="464">
        <v>2540</v>
      </c>
    </row>
    <row r="11" spans="1:24" s="465" customFormat="1" ht="16.2" customHeight="1" x14ac:dyDescent="0.3">
      <c r="A11" s="197" t="s">
        <v>179</v>
      </c>
      <c r="B11" s="286"/>
      <c r="C11" s="138" t="s">
        <v>193</v>
      </c>
      <c r="D11" s="738" t="s">
        <v>78</v>
      </c>
      <c r="E11" s="454" t="s">
        <v>54</v>
      </c>
      <c r="F11" s="458">
        <v>1700</v>
      </c>
      <c r="G11" s="1026">
        <v>6370346750</v>
      </c>
      <c r="H11" s="708">
        <v>45677</v>
      </c>
      <c r="I11" s="458">
        <v>1749.5</v>
      </c>
      <c r="J11" s="459">
        <v>45649</v>
      </c>
      <c r="K11" s="1026" t="s">
        <v>72</v>
      </c>
      <c r="L11" s="458">
        <v>1813</v>
      </c>
      <c r="M11" s="459">
        <v>45649</v>
      </c>
      <c r="N11" s="1026" t="s">
        <v>72</v>
      </c>
      <c r="O11" s="458">
        <v>7200</v>
      </c>
      <c r="P11" s="459">
        <v>45874</v>
      </c>
      <c r="Q11" s="460">
        <v>126789</v>
      </c>
      <c r="R11" s="458"/>
      <c r="S11" s="459"/>
      <c r="T11" s="460"/>
      <c r="U11" s="461" t="s">
        <v>23</v>
      </c>
      <c r="V11" s="462">
        <v>0.23</v>
      </c>
      <c r="W11" s="463">
        <v>3958</v>
      </c>
      <c r="X11" s="464">
        <v>3048</v>
      </c>
    </row>
    <row r="12" spans="1:24" s="465" customFormat="1" ht="16.2" customHeight="1" x14ac:dyDescent="0.3">
      <c r="A12" s="197" t="s">
        <v>180</v>
      </c>
      <c r="B12" s="286"/>
      <c r="C12" s="138" t="s">
        <v>77</v>
      </c>
      <c r="D12" s="453" t="s">
        <v>107</v>
      </c>
      <c r="E12" s="454" t="s">
        <v>108</v>
      </c>
      <c r="F12" s="458">
        <v>1700</v>
      </c>
      <c r="G12" s="709">
        <v>267710</v>
      </c>
      <c r="H12" s="708">
        <v>45714</v>
      </c>
      <c r="I12" s="458">
        <v>2499</v>
      </c>
      <c r="J12" s="459">
        <v>45714</v>
      </c>
      <c r="K12" s="460">
        <v>267710</v>
      </c>
      <c r="L12" s="458">
        <v>2890</v>
      </c>
      <c r="M12" s="459">
        <v>45714</v>
      </c>
      <c r="N12" s="460">
        <v>267710</v>
      </c>
      <c r="O12" s="458">
        <v>6700</v>
      </c>
      <c r="P12" s="459">
        <v>45714</v>
      </c>
      <c r="Q12" s="460">
        <v>476381</v>
      </c>
      <c r="R12" s="458"/>
      <c r="S12" s="459"/>
      <c r="T12" s="460"/>
      <c r="U12" s="461" t="s">
        <v>23</v>
      </c>
      <c r="V12" s="462">
        <v>0.23</v>
      </c>
      <c r="W12" s="463">
        <v>3958</v>
      </c>
      <c r="X12" s="464">
        <v>3048</v>
      </c>
    </row>
    <row r="13" spans="1:24" s="465" customFormat="1" ht="16.2" customHeight="1" x14ac:dyDescent="0.3">
      <c r="A13" s="197" t="s">
        <v>181</v>
      </c>
      <c r="B13" s="286"/>
      <c r="C13" s="138" t="s">
        <v>193</v>
      </c>
      <c r="D13" s="453" t="s">
        <v>109</v>
      </c>
      <c r="E13" s="454" t="s">
        <v>108</v>
      </c>
      <c r="F13" s="458">
        <v>1700</v>
      </c>
      <c r="G13" s="709">
        <v>8.5904474370305792E+16</v>
      </c>
      <c r="H13" s="708">
        <v>45715</v>
      </c>
      <c r="I13" s="458">
        <v>1999.2</v>
      </c>
      <c r="J13" s="459">
        <v>45715</v>
      </c>
      <c r="K13" s="460">
        <v>8.5904517290305792E+16</v>
      </c>
      <c r="L13" s="458">
        <v>2890</v>
      </c>
      <c r="M13" s="459">
        <v>45715</v>
      </c>
      <c r="N13" s="460">
        <v>8.5904557510305792E+16</v>
      </c>
      <c r="O13" s="458">
        <v>6700</v>
      </c>
      <c r="P13" s="459">
        <v>45803</v>
      </c>
      <c r="Q13" s="460" t="s">
        <v>191</v>
      </c>
      <c r="R13" s="458"/>
      <c r="S13" s="459"/>
      <c r="T13" s="460"/>
      <c r="U13" s="461" t="s">
        <v>211</v>
      </c>
      <c r="V13" s="462">
        <v>0.3</v>
      </c>
      <c r="W13" s="463">
        <v>3299</v>
      </c>
      <c r="X13" s="464">
        <v>2309</v>
      </c>
    </row>
    <row r="14" spans="1:24" s="465" customFormat="1" ht="16.2" customHeight="1" x14ac:dyDescent="0.3">
      <c r="A14" s="197" t="s">
        <v>182</v>
      </c>
      <c r="B14" s="286"/>
      <c r="C14" s="138" t="s">
        <v>193</v>
      </c>
      <c r="D14" s="738" t="s">
        <v>133</v>
      </c>
      <c r="E14" s="454" t="s">
        <v>108</v>
      </c>
      <c r="F14" s="458">
        <v>1700</v>
      </c>
      <c r="G14" s="456" t="s">
        <v>72</v>
      </c>
      <c r="H14" s="708">
        <v>45741</v>
      </c>
      <c r="I14" s="458">
        <v>2499</v>
      </c>
      <c r="J14" s="459" t="s">
        <v>199</v>
      </c>
      <c r="K14" s="460" t="s">
        <v>199</v>
      </c>
      <c r="L14" s="458"/>
      <c r="M14" s="459"/>
      <c r="N14" s="460"/>
      <c r="O14" s="458"/>
      <c r="P14" s="459"/>
      <c r="Q14" s="460"/>
      <c r="R14" s="458"/>
      <c r="S14" s="459"/>
      <c r="T14" s="460"/>
      <c r="U14" s="461" t="s">
        <v>211</v>
      </c>
      <c r="V14" s="475">
        <v>0.25</v>
      </c>
      <c r="W14" s="463">
        <v>3299</v>
      </c>
      <c r="X14" s="464">
        <v>2540</v>
      </c>
    </row>
    <row r="15" spans="1:24" s="465" customFormat="1" ht="16.2" customHeight="1" x14ac:dyDescent="0.3">
      <c r="A15" s="197" t="s">
        <v>206</v>
      </c>
      <c r="B15" s="286"/>
      <c r="C15" s="138" t="s">
        <v>193</v>
      </c>
      <c r="D15" s="738" t="s">
        <v>194</v>
      </c>
      <c r="E15" s="454" t="s">
        <v>195</v>
      </c>
      <c r="F15" s="458">
        <v>2040</v>
      </c>
      <c r="G15" s="460">
        <v>8650950</v>
      </c>
      <c r="H15" s="459">
        <v>45808</v>
      </c>
      <c r="I15" s="458">
        <v>1345</v>
      </c>
      <c r="J15" s="459">
        <v>45897</v>
      </c>
      <c r="K15" s="460">
        <v>8650950</v>
      </c>
      <c r="L15" s="458">
        <v>1245</v>
      </c>
      <c r="M15" s="459">
        <v>45897</v>
      </c>
      <c r="N15" s="460">
        <v>8650950</v>
      </c>
      <c r="O15" s="458">
        <v>5240</v>
      </c>
      <c r="P15" s="459">
        <v>45931</v>
      </c>
      <c r="Q15" s="460">
        <v>1801410</v>
      </c>
      <c r="R15" s="458"/>
      <c r="S15" s="459"/>
      <c r="T15" s="460"/>
      <c r="U15" s="461"/>
      <c r="V15" s="462"/>
      <c r="W15" s="463"/>
      <c r="X15" s="464"/>
    </row>
    <row r="16" spans="1:24" s="465" customFormat="1" ht="16.2" customHeight="1" x14ac:dyDescent="0.3">
      <c r="A16" s="197" t="s">
        <v>207</v>
      </c>
      <c r="B16" s="286"/>
      <c r="C16" s="138" t="s">
        <v>193</v>
      </c>
      <c r="D16" s="738" t="s">
        <v>205</v>
      </c>
      <c r="E16" s="454" t="s">
        <v>195</v>
      </c>
      <c r="F16" s="458">
        <v>2040</v>
      </c>
      <c r="G16" s="460">
        <v>250623</v>
      </c>
      <c r="H16" s="459">
        <v>45831</v>
      </c>
      <c r="I16" s="458">
        <v>2499</v>
      </c>
      <c r="J16" s="459">
        <v>45831</v>
      </c>
      <c r="K16" s="460">
        <v>250623</v>
      </c>
      <c r="L16" s="458">
        <v>2890</v>
      </c>
      <c r="M16" s="459">
        <v>45831</v>
      </c>
      <c r="N16" s="460">
        <v>250623</v>
      </c>
      <c r="O16" s="458">
        <v>6700</v>
      </c>
      <c r="P16" s="459">
        <v>45831</v>
      </c>
      <c r="Q16" s="461">
        <v>250623</v>
      </c>
      <c r="R16" s="458"/>
      <c r="S16" s="459"/>
      <c r="T16" s="460"/>
      <c r="U16" s="461"/>
      <c r="V16" s="475"/>
      <c r="W16" s="463"/>
      <c r="X16" s="464"/>
    </row>
    <row r="17" spans="1:24" s="465" customFormat="1" ht="16.2" customHeight="1" x14ac:dyDescent="0.3">
      <c r="A17" s="197" t="s">
        <v>245</v>
      </c>
      <c r="B17" s="286"/>
      <c r="C17" s="138" t="s">
        <v>77</v>
      </c>
      <c r="D17" s="453" t="s">
        <v>213</v>
      </c>
      <c r="E17" s="454" t="s">
        <v>195</v>
      </c>
      <c r="F17" s="458">
        <v>1700</v>
      </c>
      <c r="G17" s="460">
        <v>13498576</v>
      </c>
      <c r="H17" s="459">
        <v>45838</v>
      </c>
      <c r="I17" s="458">
        <v>2499</v>
      </c>
      <c r="J17" s="459">
        <v>45838</v>
      </c>
      <c r="K17" s="460">
        <v>13498576</v>
      </c>
      <c r="L17" s="458">
        <v>2890</v>
      </c>
      <c r="M17" s="459">
        <v>45838</v>
      </c>
      <c r="N17" s="460">
        <v>13498576</v>
      </c>
      <c r="O17" s="458">
        <v>7200</v>
      </c>
      <c r="P17" s="459">
        <v>45874</v>
      </c>
      <c r="Q17" s="460">
        <v>46675885</v>
      </c>
      <c r="R17" s="458"/>
      <c r="S17" s="459"/>
      <c r="T17" s="460"/>
      <c r="U17" s="461" t="s">
        <v>211</v>
      </c>
      <c r="V17" s="475">
        <v>0.18</v>
      </c>
      <c r="W17" s="463">
        <v>3299</v>
      </c>
      <c r="X17" s="464">
        <v>2705</v>
      </c>
    </row>
    <row r="18" spans="1:24" s="484" customFormat="1" ht="16.2" customHeight="1" x14ac:dyDescent="0.3">
      <c r="A18" s="187" t="s">
        <v>283</v>
      </c>
      <c r="B18" s="286"/>
      <c r="C18" s="222" t="s">
        <v>193</v>
      </c>
      <c r="D18" s="738" t="s">
        <v>217</v>
      </c>
      <c r="E18" s="706" t="s">
        <v>195</v>
      </c>
      <c r="F18" s="478">
        <v>1700</v>
      </c>
      <c r="G18" s="480">
        <v>40314</v>
      </c>
      <c r="H18" s="481">
        <v>45841</v>
      </c>
      <c r="I18" s="478">
        <v>2499</v>
      </c>
      <c r="J18" s="481">
        <v>45841</v>
      </c>
      <c r="K18" s="480">
        <v>12</v>
      </c>
      <c r="L18" s="478">
        <v>2890</v>
      </c>
      <c r="M18" s="481">
        <v>45841</v>
      </c>
      <c r="N18" s="480">
        <v>40314</v>
      </c>
      <c r="O18" s="478">
        <v>7200</v>
      </c>
      <c r="P18" s="481">
        <v>45841</v>
      </c>
      <c r="Q18" s="480">
        <v>40314</v>
      </c>
      <c r="R18" s="478"/>
      <c r="S18" s="479"/>
      <c r="T18" s="480"/>
      <c r="U18" s="479" t="s">
        <v>23</v>
      </c>
      <c r="V18" s="1027">
        <v>0.18</v>
      </c>
      <c r="W18" s="482">
        <v>3958</v>
      </c>
      <c r="X18" s="483">
        <v>3246</v>
      </c>
    </row>
    <row r="19" spans="1:24" s="465" customFormat="1" ht="16.2" customHeight="1" x14ac:dyDescent="0.3">
      <c r="A19" s="197" t="s">
        <v>284</v>
      </c>
      <c r="B19" s="286"/>
      <c r="C19" s="138" t="s">
        <v>193</v>
      </c>
      <c r="D19" s="453" t="s">
        <v>231</v>
      </c>
      <c r="E19" s="454" t="s">
        <v>195</v>
      </c>
      <c r="F19" s="478">
        <v>2040</v>
      </c>
      <c r="G19" s="460">
        <v>277410</v>
      </c>
      <c r="H19" s="459">
        <v>45845</v>
      </c>
      <c r="I19" s="458">
        <v>2890</v>
      </c>
      <c r="J19" s="459">
        <v>45866</v>
      </c>
      <c r="K19" s="460">
        <v>2.26202576629495E+16</v>
      </c>
      <c r="L19" s="458">
        <v>1000</v>
      </c>
      <c r="M19" s="459">
        <v>45899</v>
      </c>
      <c r="N19" s="460">
        <v>277410</v>
      </c>
      <c r="O19" s="458">
        <v>7200</v>
      </c>
      <c r="P19" s="459">
        <v>45913</v>
      </c>
      <c r="Q19" s="460">
        <v>277410</v>
      </c>
      <c r="R19" s="458">
        <v>780</v>
      </c>
      <c r="S19" s="459">
        <v>45899</v>
      </c>
      <c r="T19" s="460">
        <v>277410</v>
      </c>
      <c r="U19" s="461" t="s">
        <v>23</v>
      </c>
      <c r="V19" s="475"/>
      <c r="W19" s="463"/>
      <c r="X19" s="464"/>
    </row>
    <row r="20" spans="1:24" s="465" customFormat="1" ht="16.2" customHeight="1" x14ac:dyDescent="0.3">
      <c r="A20" s="197" t="s">
        <v>285</v>
      </c>
      <c r="B20" s="286"/>
      <c r="C20" s="138" t="s">
        <v>193</v>
      </c>
      <c r="D20" s="738" t="s">
        <v>250</v>
      </c>
      <c r="E20" s="454" t="s">
        <v>195</v>
      </c>
      <c r="F20" s="458">
        <v>2040</v>
      </c>
      <c r="G20" s="460">
        <v>7953761387</v>
      </c>
      <c r="H20" s="459">
        <v>45817</v>
      </c>
      <c r="I20" s="458">
        <v>2890</v>
      </c>
      <c r="J20" s="459">
        <v>45817</v>
      </c>
      <c r="K20" s="460">
        <v>7953761387</v>
      </c>
      <c r="L20" s="458">
        <v>2499</v>
      </c>
      <c r="M20" s="459">
        <v>45817</v>
      </c>
      <c r="N20" s="460">
        <v>7953761387</v>
      </c>
      <c r="O20" s="458">
        <v>7200</v>
      </c>
      <c r="P20" s="459">
        <v>45817</v>
      </c>
      <c r="Q20" s="460">
        <v>7953761387</v>
      </c>
      <c r="R20" s="458"/>
      <c r="S20" s="485"/>
      <c r="T20" s="486"/>
      <c r="U20" s="461" t="s">
        <v>258</v>
      </c>
      <c r="V20" s="475">
        <v>0.18</v>
      </c>
      <c r="W20" s="463">
        <v>3958</v>
      </c>
      <c r="X20" s="464">
        <v>3246</v>
      </c>
    </row>
    <row r="21" spans="1:24" s="465" customFormat="1" ht="16.2" customHeight="1" x14ac:dyDescent="0.3">
      <c r="A21" s="197" t="s">
        <v>293</v>
      </c>
      <c r="B21" s="286"/>
      <c r="C21" s="138" t="s">
        <v>193</v>
      </c>
      <c r="D21" s="738" t="s">
        <v>292</v>
      </c>
      <c r="E21" s="454" t="s">
        <v>195</v>
      </c>
      <c r="F21" s="461" t="s">
        <v>66</v>
      </c>
      <c r="G21" s="460" t="s">
        <v>66</v>
      </c>
      <c r="H21" s="459">
        <v>45866</v>
      </c>
      <c r="I21" s="458">
        <v>2890</v>
      </c>
      <c r="J21" s="459">
        <v>45866</v>
      </c>
      <c r="K21" s="460">
        <v>5375</v>
      </c>
      <c r="L21" s="458">
        <v>2490</v>
      </c>
      <c r="M21" s="459">
        <v>45866</v>
      </c>
      <c r="N21" s="460">
        <v>5375</v>
      </c>
      <c r="O21" s="458">
        <v>2000</v>
      </c>
      <c r="P21" s="459">
        <v>45866</v>
      </c>
      <c r="Q21" s="460">
        <v>5375</v>
      </c>
      <c r="R21" s="458"/>
      <c r="S21" s="461"/>
      <c r="T21" s="460"/>
      <c r="U21" s="461" t="s">
        <v>23</v>
      </c>
      <c r="V21" s="475">
        <v>0.18</v>
      </c>
      <c r="W21" s="463">
        <v>3958</v>
      </c>
      <c r="X21" s="464">
        <v>3246</v>
      </c>
    </row>
    <row r="22" spans="1:24" s="465" customFormat="1" ht="16.2" customHeight="1" x14ac:dyDescent="0.3">
      <c r="A22" s="197" t="s">
        <v>295</v>
      </c>
      <c r="B22" s="286"/>
      <c r="C22" s="138" t="s">
        <v>193</v>
      </c>
      <c r="D22" s="453" t="s">
        <v>294</v>
      </c>
      <c r="E22" s="454" t="s">
        <v>195</v>
      </c>
      <c r="F22" s="461" t="s">
        <v>66</v>
      </c>
      <c r="G22" s="460" t="s">
        <v>66</v>
      </c>
      <c r="H22" s="459">
        <v>45867</v>
      </c>
      <c r="I22" s="458">
        <v>2890</v>
      </c>
      <c r="J22" s="459">
        <v>45867</v>
      </c>
      <c r="K22" s="460">
        <v>12561777</v>
      </c>
      <c r="L22" s="458">
        <v>2490</v>
      </c>
      <c r="M22" s="459">
        <v>45867</v>
      </c>
      <c r="N22" s="460">
        <v>121561777</v>
      </c>
      <c r="O22" s="458">
        <v>7200</v>
      </c>
      <c r="P22" s="459">
        <v>45902</v>
      </c>
      <c r="Q22" s="460">
        <v>5349798</v>
      </c>
      <c r="R22" s="458"/>
      <c r="S22" s="461"/>
      <c r="T22" s="460"/>
      <c r="U22" s="461"/>
      <c r="V22" s="462"/>
      <c r="W22" s="463"/>
      <c r="X22" s="464"/>
    </row>
    <row r="23" spans="1:24" s="465" customFormat="1" ht="16.2" customHeight="1" x14ac:dyDescent="0.3">
      <c r="A23" s="197" t="s">
        <v>307</v>
      </c>
      <c r="B23" s="286"/>
      <c r="C23" s="138" t="s">
        <v>193</v>
      </c>
      <c r="D23" s="1028" t="s">
        <v>306</v>
      </c>
      <c r="E23" s="454" t="s">
        <v>195</v>
      </c>
      <c r="F23" s="461">
        <v>2040</v>
      </c>
      <c r="G23" s="460">
        <v>5049409</v>
      </c>
      <c r="H23" s="459">
        <v>45869</v>
      </c>
      <c r="I23" s="458">
        <v>2890</v>
      </c>
      <c r="J23" s="459">
        <v>45890</v>
      </c>
      <c r="K23" s="460">
        <v>5049409</v>
      </c>
      <c r="L23" s="458">
        <v>2490</v>
      </c>
      <c r="M23" s="459">
        <v>45889</v>
      </c>
      <c r="N23" s="460">
        <v>5049409</v>
      </c>
      <c r="O23" s="458"/>
      <c r="P23" s="459"/>
      <c r="Q23" s="460"/>
      <c r="R23" s="458"/>
      <c r="S23" s="459"/>
      <c r="T23" s="460"/>
      <c r="U23" s="461" t="s">
        <v>258</v>
      </c>
      <c r="V23" s="462">
        <v>0.3</v>
      </c>
      <c r="W23" s="463">
        <v>3958</v>
      </c>
      <c r="X23" s="464">
        <v>2770</v>
      </c>
    </row>
    <row r="24" spans="1:24" s="465" customFormat="1" ht="16.2" customHeight="1" x14ac:dyDescent="0.3">
      <c r="A24" s="197" t="s">
        <v>344</v>
      </c>
      <c r="B24" s="326"/>
      <c r="C24" s="327" t="s">
        <v>193</v>
      </c>
      <c r="D24" s="781" t="s">
        <v>343</v>
      </c>
      <c r="E24" s="773" t="s">
        <v>195</v>
      </c>
      <c r="F24" s="710" t="s">
        <v>66</v>
      </c>
      <c r="G24" s="713" t="s">
        <v>66</v>
      </c>
      <c r="H24" s="714">
        <v>45882</v>
      </c>
      <c r="I24" s="712">
        <v>2890</v>
      </c>
      <c r="J24" s="714">
        <v>45882</v>
      </c>
      <c r="K24" s="713">
        <v>1305250</v>
      </c>
      <c r="L24" s="712">
        <v>2490</v>
      </c>
      <c r="M24" s="714">
        <v>45882</v>
      </c>
      <c r="N24" s="713">
        <v>1308250</v>
      </c>
      <c r="O24" s="712">
        <v>7200</v>
      </c>
      <c r="P24" s="714">
        <v>45884</v>
      </c>
      <c r="Q24" s="713">
        <v>1508250</v>
      </c>
      <c r="R24" s="712"/>
      <c r="S24" s="714"/>
      <c r="T24" s="713"/>
      <c r="U24" s="710" t="s">
        <v>211</v>
      </c>
      <c r="V24" s="715">
        <v>0.2</v>
      </c>
      <c r="W24" s="716">
        <v>3958</v>
      </c>
      <c r="X24" s="717">
        <v>2640</v>
      </c>
    </row>
    <row r="25" spans="1:24" s="465" customFormat="1" ht="16.2" customHeight="1" x14ac:dyDescent="0.3">
      <c r="A25" s="197"/>
      <c r="B25" s="326"/>
      <c r="C25" s="327" t="s">
        <v>193</v>
      </c>
      <c r="D25" s="711" t="s">
        <v>358</v>
      </c>
      <c r="E25" s="773" t="s">
        <v>195</v>
      </c>
      <c r="F25" s="478">
        <v>2040</v>
      </c>
      <c r="G25" s="713">
        <v>2906250</v>
      </c>
      <c r="H25" s="714">
        <v>45880</v>
      </c>
      <c r="I25" s="712">
        <v>2890</v>
      </c>
      <c r="J25" s="714">
        <v>45880</v>
      </c>
      <c r="K25" s="713">
        <v>2906250</v>
      </c>
      <c r="L25" s="712">
        <v>2490</v>
      </c>
      <c r="M25" s="714">
        <v>45880</v>
      </c>
      <c r="N25" s="713">
        <v>2906250</v>
      </c>
      <c r="O25" s="712"/>
      <c r="P25" s="714"/>
      <c r="Q25" s="713"/>
      <c r="R25" s="712"/>
      <c r="S25" s="714"/>
      <c r="T25" s="713"/>
      <c r="U25" s="710"/>
      <c r="V25" s="715"/>
      <c r="W25" s="716"/>
      <c r="X25" s="717"/>
    </row>
    <row r="26" spans="1:24" s="465" customFormat="1" ht="16.2" customHeight="1" x14ac:dyDescent="0.3">
      <c r="A26" s="197"/>
      <c r="B26" s="326"/>
      <c r="C26" s="327" t="s">
        <v>193</v>
      </c>
      <c r="D26" s="781" t="s">
        <v>360</v>
      </c>
      <c r="E26" s="773" t="s">
        <v>54</v>
      </c>
      <c r="F26" s="1029">
        <v>2040</v>
      </c>
      <c r="G26" s="713" t="s">
        <v>438</v>
      </c>
      <c r="H26" s="714">
        <v>45677</v>
      </c>
      <c r="I26" s="712">
        <v>2890</v>
      </c>
      <c r="J26" s="714">
        <v>45677</v>
      </c>
      <c r="K26" s="713" t="s">
        <v>439</v>
      </c>
      <c r="L26" s="712">
        <v>2490</v>
      </c>
      <c r="M26" s="714">
        <v>45677</v>
      </c>
      <c r="N26" s="713" t="s">
        <v>439</v>
      </c>
      <c r="O26" s="712">
        <v>7200</v>
      </c>
      <c r="P26" s="714">
        <v>45677</v>
      </c>
      <c r="Q26" s="713" t="s">
        <v>439</v>
      </c>
      <c r="R26" s="712"/>
      <c r="S26" s="714"/>
      <c r="T26" s="713"/>
      <c r="U26" s="710"/>
      <c r="V26" s="715"/>
      <c r="W26" s="716"/>
      <c r="X26" s="717"/>
    </row>
    <row r="27" spans="1:24" s="465" customFormat="1" ht="16.2" customHeight="1" x14ac:dyDescent="0.3">
      <c r="A27" s="197" t="s">
        <v>375</v>
      </c>
      <c r="B27" s="326"/>
      <c r="C27" s="327" t="s">
        <v>193</v>
      </c>
      <c r="D27" s="711" t="s">
        <v>374</v>
      </c>
      <c r="E27" s="773" t="s">
        <v>54</v>
      </c>
      <c r="F27" s="710" t="s">
        <v>66</v>
      </c>
      <c r="G27" s="713" t="s">
        <v>66</v>
      </c>
      <c r="H27" s="714">
        <v>45888</v>
      </c>
      <c r="I27" s="712"/>
      <c r="J27" s="714"/>
      <c r="K27" s="713"/>
      <c r="L27" s="712"/>
      <c r="M27" s="714"/>
      <c r="N27" s="713"/>
      <c r="O27" s="712">
        <v>7200</v>
      </c>
      <c r="P27" s="714">
        <v>45918</v>
      </c>
      <c r="Q27" s="713">
        <v>26757007</v>
      </c>
      <c r="R27" s="712"/>
      <c r="S27" s="714"/>
      <c r="T27" s="713"/>
      <c r="U27" s="710"/>
      <c r="V27" s="715"/>
      <c r="W27" s="716"/>
      <c r="X27" s="717"/>
    </row>
    <row r="28" spans="1:24" ht="16.2" customHeight="1" thickBot="1" x14ac:dyDescent="0.3">
      <c r="A28" s="846" t="s">
        <v>342</v>
      </c>
      <c r="B28" s="297"/>
      <c r="C28" s="61" t="s">
        <v>193</v>
      </c>
      <c r="D28" s="1030" t="s">
        <v>341</v>
      </c>
      <c r="E28" s="1031" t="s">
        <v>195</v>
      </c>
      <c r="F28" s="1032" t="s">
        <v>66</v>
      </c>
      <c r="G28" s="1033" t="s">
        <v>66</v>
      </c>
      <c r="H28" s="841">
        <v>45881</v>
      </c>
      <c r="I28" s="1034">
        <v>1500</v>
      </c>
      <c r="J28" s="841">
        <v>45881</v>
      </c>
      <c r="K28" s="1033">
        <v>263117</v>
      </c>
      <c r="L28" s="1034">
        <v>300</v>
      </c>
      <c r="M28" s="841">
        <v>45881</v>
      </c>
      <c r="N28" s="1033">
        <v>263117</v>
      </c>
      <c r="O28" s="1034">
        <v>4200</v>
      </c>
      <c r="P28" s="841">
        <v>45881</v>
      </c>
      <c r="Q28" s="1033">
        <v>263117</v>
      </c>
      <c r="R28" s="1034"/>
      <c r="S28" s="841"/>
      <c r="T28" s="1033"/>
      <c r="U28" s="1032" t="s">
        <v>196</v>
      </c>
      <c r="V28" s="1035">
        <v>0.23</v>
      </c>
      <c r="W28" s="1036">
        <v>3958</v>
      </c>
      <c r="X28" s="1037">
        <v>2540</v>
      </c>
    </row>
    <row r="29" spans="1:24" ht="16.2" customHeight="1" thickBot="1" x14ac:dyDescent="0.3">
      <c r="A29" s="846" t="s">
        <v>393</v>
      </c>
      <c r="B29" s="297"/>
      <c r="C29" s="61" t="s">
        <v>193</v>
      </c>
      <c r="D29" s="1038" t="s">
        <v>392</v>
      </c>
      <c r="E29" s="1031" t="s">
        <v>195</v>
      </c>
      <c r="F29" s="1032" t="s">
        <v>66</v>
      </c>
      <c r="G29" s="1033" t="s">
        <v>66</v>
      </c>
      <c r="H29" s="841">
        <v>45897</v>
      </c>
      <c r="I29" s="1034">
        <v>2890</v>
      </c>
      <c r="J29" s="841">
        <v>45897</v>
      </c>
      <c r="K29" s="1033">
        <v>17957921</v>
      </c>
      <c r="L29" s="1034"/>
      <c r="M29" s="841"/>
      <c r="N29" s="1033"/>
      <c r="O29" s="1034">
        <v>3000</v>
      </c>
      <c r="P29" s="841">
        <v>45897</v>
      </c>
      <c r="Q29" s="1033">
        <v>17957921</v>
      </c>
      <c r="R29" s="1034"/>
      <c r="S29" s="841"/>
      <c r="T29" s="1033"/>
      <c r="U29" s="1032" t="s">
        <v>258</v>
      </c>
      <c r="V29" s="1035"/>
      <c r="W29" s="1036">
        <v>3958</v>
      </c>
      <c r="X29" s="1037">
        <v>2969</v>
      </c>
    </row>
    <row r="30" spans="1:24" ht="16.2" customHeight="1" thickBot="1" x14ac:dyDescent="0.3">
      <c r="A30" s="846" t="s">
        <v>396</v>
      </c>
      <c r="B30" s="297"/>
      <c r="C30" s="61" t="s">
        <v>193</v>
      </c>
      <c r="D30" s="1038" t="s">
        <v>424</v>
      </c>
      <c r="E30" s="1031" t="s">
        <v>195</v>
      </c>
      <c r="F30" s="1032" t="s">
        <v>66</v>
      </c>
      <c r="G30" s="1033" t="s">
        <v>66</v>
      </c>
      <c r="H30" s="841">
        <v>45897</v>
      </c>
      <c r="I30" s="1034">
        <v>1445</v>
      </c>
      <c r="J30" s="841">
        <v>45890</v>
      </c>
      <c r="K30" s="1033">
        <v>681592</v>
      </c>
      <c r="L30" s="1034">
        <v>1249</v>
      </c>
      <c r="M30" s="841">
        <v>45890</v>
      </c>
      <c r="N30" s="1033">
        <v>681592</v>
      </c>
      <c r="O30" s="1034">
        <v>3100</v>
      </c>
      <c r="P30" s="841">
        <v>45918</v>
      </c>
      <c r="Q30" s="1033">
        <v>180925</v>
      </c>
      <c r="R30" s="1034"/>
      <c r="S30" s="841"/>
      <c r="T30" s="1033"/>
      <c r="U30" s="1032"/>
      <c r="V30" s="1035"/>
      <c r="W30" s="1036"/>
      <c r="X30" s="1037"/>
    </row>
    <row r="31" spans="1:24" ht="16.2" customHeight="1" thickBot="1" x14ac:dyDescent="0.3">
      <c r="A31" s="846" t="s">
        <v>412</v>
      </c>
      <c r="B31" s="297"/>
      <c r="C31" s="61" t="s">
        <v>193</v>
      </c>
      <c r="D31" s="1038" t="s">
        <v>411</v>
      </c>
      <c r="E31" s="1031" t="s">
        <v>195</v>
      </c>
      <c r="F31" s="1032" t="s">
        <v>66</v>
      </c>
      <c r="G31" s="1033" t="s">
        <v>66</v>
      </c>
      <c r="H31" s="841">
        <v>45899</v>
      </c>
      <c r="I31" s="1034">
        <v>1445</v>
      </c>
      <c r="J31" s="841">
        <v>45905</v>
      </c>
      <c r="K31" s="1033" t="s">
        <v>72</v>
      </c>
      <c r="L31" s="1034" t="s">
        <v>66</v>
      </c>
      <c r="M31" s="841">
        <v>45899</v>
      </c>
      <c r="N31" s="1033" t="s">
        <v>66</v>
      </c>
      <c r="O31" s="1034"/>
      <c r="P31" s="841"/>
      <c r="Q31" s="1033"/>
      <c r="R31" s="1034"/>
      <c r="S31" s="841"/>
      <c r="T31" s="1033"/>
      <c r="U31" s="1032" t="s">
        <v>258</v>
      </c>
      <c r="V31" s="1035">
        <v>0.3</v>
      </c>
      <c r="W31" s="1036">
        <v>3958</v>
      </c>
      <c r="X31" s="1037">
        <v>2770</v>
      </c>
    </row>
    <row r="32" spans="1:24" ht="16.2" customHeight="1" thickBot="1" x14ac:dyDescent="0.3">
      <c r="A32" s="846" t="s">
        <v>430</v>
      </c>
      <c r="B32" s="297"/>
      <c r="C32" s="61" t="s">
        <v>193</v>
      </c>
      <c r="D32" s="1038" t="s">
        <v>684</v>
      </c>
      <c r="E32" s="1031" t="s">
        <v>195</v>
      </c>
      <c r="F32" s="1032" t="s">
        <v>66</v>
      </c>
      <c r="G32" s="1033" t="s">
        <v>66</v>
      </c>
      <c r="H32" s="841">
        <v>45911</v>
      </c>
      <c r="I32" s="1034">
        <v>1445</v>
      </c>
      <c r="J32" s="841">
        <v>45911</v>
      </c>
      <c r="K32" s="1033">
        <v>1109250</v>
      </c>
      <c r="L32" s="1034">
        <v>1249</v>
      </c>
      <c r="M32" s="841">
        <v>45911</v>
      </c>
      <c r="N32" s="1033">
        <v>1109250</v>
      </c>
      <c r="O32" s="1034"/>
      <c r="P32" s="841"/>
      <c r="Q32" s="1033"/>
      <c r="R32" s="1034"/>
      <c r="S32" s="841"/>
      <c r="T32" s="1033"/>
      <c r="U32" s="1032"/>
      <c r="V32" s="1035"/>
      <c r="W32" s="1036"/>
      <c r="X32" s="1037"/>
    </row>
    <row r="33" spans="1:44" ht="16.2" customHeight="1" thickBot="1" x14ac:dyDescent="0.3">
      <c r="A33" s="846" t="s">
        <v>406</v>
      </c>
      <c r="B33" s="297"/>
      <c r="C33" s="61" t="s">
        <v>193</v>
      </c>
      <c r="D33" s="1038" t="s">
        <v>405</v>
      </c>
      <c r="E33" s="1031" t="s">
        <v>195</v>
      </c>
      <c r="F33" s="1032" t="s">
        <v>66</v>
      </c>
      <c r="G33" s="1033" t="s">
        <v>66</v>
      </c>
      <c r="H33" s="841">
        <v>45899</v>
      </c>
      <c r="I33" s="1034"/>
      <c r="J33" s="841"/>
      <c r="K33" s="1033"/>
      <c r="L33" s="1034"/>
      <c r="M33" s="841"/>
      <c r="N33" s="1033"/>
      <c r="O33" s="1034"/>
      <c r="P33" s="841"/>
      <c r="Q33" s="1033"/>
      <c r="R33" s="1034"/>
      <c r="S33" s="841"/>
      <c r="T33" s="1033"/>
      <c r="U33" s="1032">
        <v>10</v>
      </c>
      <c r="V33" s="1035">
        <v>0.18</v>
      </c>
      <c r="W33" s="1036">
        <v>3958</v>
      </c>
      <c r="X33" s="1037">
        <v>3246</v>
      </c>
    </row>
    <row r="34" spans="1:44" ht="16.2" customHeight="1" thickBot="1" x14ac:dyDescent="0.3">
      <c r="A34" s="846" t="s">
        <v>446</v>
      </c>
      <c r="B34" s="297"/>
      <c r="C34" s="61" t="s">
        <v>77</v>
      </c>
      <c r="D34" s="1030" t="s">
        <v>445</v>
      </c>
      <c r="E34" s="1031" t="s">
        <v>195</v>
      </c>
      <c r="F34" s="1032" t="s">
        <v>66</v>
      </c>
      <c r="G34" s="1033" t="s">
        <v>66</v>
      </c>
      <c r="H34" s="841">
        <v>45932</v>
      </c>
      <c r="I34" s="1034">
        <v>1445</v>
      </c>
      <c r="J34" s="841">
        <v>45932</v>
      </c>
      <c r="K34" s="1033">
        <v>89983</v>
      </c>
      <c r="L34" s="1034">
        <v>1249</v>
      </c>
      <c r="M34" s="841">
        <v>45698</v>
      </c>
      <c r="N34" s="1033">
        <v>89983</v>
      </c>
      <c r="O34" s="1034"/>
      <c r="P34" s="841"/>
      <c r="Q34" s="1033"/>
      <c r="R34" s="1034"/>
      <c r="S34" s="841"/>
      <c r="T34" s="1033"/>
      <c r="U34" s="1032" t="s">
        <v>258</v>
      </c>
      <c r="V34" s="1035">
        <v>0.3</v>
      </c>
      <c r="W34" s="1036">
        <v>3958</v>
      </c>
      <c r="X34" s="1037">
        <v>2771.16</v>
      </c>
    </row>
    <row r="35" spans="1:44" ht="16.2" customHeight="1" thickBot="1" x14ac:dyDescent="0.3"/>
    <row r="36" spans="1:44" ht="16.2" customHeight="1" thickBot="1" x14ac:dyDescent="0.3">
      <c r="B36" s="1395">
        <v>0</v>
      </c>
      <c r="C36" s="1396"/>
      <c r="D36" s="1396"/>
      <c r="E36" s="1396"/>
      <c r="F36" s="1396"/>
      <c r="G36" s="1396"/>
      <c r="H36" s="1396"/>
      <c r="I36" s="1396"/>
      <c r="J36" s="1396"/>
      <c r="K36" s="1396"/>
      <c r="L36" s="1396"/>
      <c r="M36" s="1396"/>
      <c r="N36" s="1396"/>
      <c r="O36" s="1396"/>
      <c r="P36" s="1396"/>
      <c r="Q36" s="1396"/>
      <c r="R36" s="1396"/>
      <c r="S36" s="1396"/>
      <c r="T36" s="1396"/>
      <c r="U36" s="1396"/>
      <c r="V36" s="1396"/>
      <c r="W36" s="1396"/>
      <c r="X36" s="1396"/>
      <c r="Y36" s="1396"/>
      <c r="Z36" s="1396"/>
      <c r="AA36" s="1396"/>
      <c r="AB36" s="1396"/>
      <c r="AC36" s="1396"/>
      <c r="AD36" s="1396"/>
      <c r="AE36" s="1396"/>
      <c r="AF36" s="1396"/>
      <c r="AG36" s="1396"/>
      <c r="AH36" s="1396"/>
      <c r="AI36" s="1396"/>
      <c r="AJ36" s="1396"/>
      <c r="AK36" s="1396"/>
      <c r="AL36" s="1396"/>
      <c r="AM36" s="1396"/>
      <c r="AN36" s="1397"/>
    </row>
    <row r="37" spans="1:44" ht="16.2" customHeight="1" thickBot="1" x14ac:dyDescent="0.3">
      <c r="B37" s="496" t="s">
        <v>9</v>
      </c>
      <c r="C37" s="497" t="s">
        <v>10</v>
      </c>
      <c r="D37" s="496" t="s">
        <v>11</v>
      </c>
      <c r="E37" s="1398" t="s">
        <v>25</v>
      </c>
      <c r="F37" s="1399"/>
      <c r="G37" s="1400"/>
      <c r="H37" s="1401" t="s">
        <v>26</v>
      </c>
      <c r="I37" s="1401"/>
      <c r="J37" s="1401"/>
      <c r="K37" s="1398" t="s">
        <v>27</v>
      </c>
      <c r="L37" s="1399"/>
      <c r="M37" s="1400"/>
      <c r="N37" s="1401" t="s">
        <v>28</v>
      </c>
      <c r="O37" s="1401"/>
      <c r="P37" s="1401"/>
      <c r="Q37" s="1398" t="s">
        <v>29</v>
      </c>
      <c r="R37" s="1399"/>
      <c r="S37" s="1400"/>
      <c r="T37" s="1401" t="s">
        <v>30</v>
      </c>
      <c r="U37" s="1401"/>
      <c r="V37" s="1401"/>
      <c r="W37" s="1398" t="s">
        <v>36</v>
      </c>
      <c r="X37" s="1399"/>
      <c r="Y37" s="1400"/>
      <c r="Z37" s="1401" t="s">
        <v>31</v>
      </c>
      <c r="AA37" s="1401"/>
      <c r="AB37" s="1401"/>
      <c r="AC37" s="1398" t="s">
        <v>32</v>
      </c>
      <c r="AD37" s="1399"/>
      <c r="AE37" s="1400"/>
      <c r="AF37" s="1401" t="s">
        <v>33</v>
      </c>
      <c r="AG37" s="1401"/>
      <c r="AH37" s="1401"/>
      <c r="AI37" s="1398" t="s">
        <v>34</v>
      </c>
      <c r="AJ37" s="1399"/>
      <c r="AK37" s="1400"/>
      <c r="AL37" s="1401" t="s">
        <v>35</v>
      </c>
      <c r="AM37" s="1401"/>
      <c r="AN37" s="1402"/>
    </row>
    <row r="38" spans="1:44" ht="16.2" customHeight="1" thickBot="1" x14ac:dyDescent="0.3">
      <c r="B38" s="498"/>
      <c r="C38" s="452"/>
      <c r="D38" s="452"/>
      <c r="E38" s="499" t="s">
        <v>37</v>
      </c>
      <c r="F38" s="500" t="s">
        <v>15</v>
      </c>
      <c r="G38" s="501" t="s">
        <v>14</v>
      </c>
      <c r="H38" s="500" t="s">
        <v>37</v>
      </c>
      <c r="I38" s="500" t="s">
        <v>15</v>
      </c>
      <c r="J38" s="500" t="s">
        <v>14</v>
      </c>
      <c r="K38" s="499" t="s">
        <v>37</v>
      </c>
      <c r="L38" s="500" t="s">
        <v>15</v>
      </c>
      <c r="M38" s="501" t="s">
        <v>14</v>
      </c>
      <c r="N38" s="500" t="s">
        <v>37</v>
      </c>
      <c r="O38" s="500" t="s">
        <v>15</v>
      </c>
      <c r="P38" s="500" t="s">
        <v>14</v>
      </c>
      <c r="Q38" s="499" t="s">
        <v>37</v>
      </c>
      <c r="R38" s="500" t="s">
        <v>15</v>
      </c>
      <c r="S38" s="501" t="s">
        <v>14</v>
      </c>
      <c r="T38" s="500" t="s">
        <v>37</v>
      </c>
      <c r="U38" s="500" t="s">
        <v>15</v>
      </c>
      <c r="V38" s="500" t="s">
        <v>14</v>
      </c>
      <c r="W38" s="499" t="s">
        <v>37</v>
      </c>
      <c r="X38" s="500" t="s">
        <v>15</v>
      </c>
      <c r="Y38" s="501" t="s">
        <v>14</v>
      </c>
      <c r="Z38" s="500" t="s">
        <v>37</v>
      </c>
      <c r="AA38" s="500" t="s">
        <v>15</v>
      </c>
      <c r="AB38" s="500" t="s">
        <v>14</v>
      </c>
      <c r="AC38" s="499" t="s">
        <v>37</v>
      </c>
      <c r="AD38" s="500" t="s">
        <v>15</v>
      </c>
      <c r="AE38" s="501" t="s">
        <v>14</v>
      </c>
      <c r="AF38" s="500" t="s">
        <v>37</v>
      </c>
      <c r="AG38" s="500" t="s">
        <v>15</v>
      </c>
      <c r="AH38" s="500" t="s">
        <v>14</v>
      </c>
      <c r="AI38" s="499" t="s">
        <v>37</v>
      </c>
      <c r="AJ38" s="500" t="s">
        <v>15</v>
      </c>
      <c r="AK38" s="501" t="s">
        <v>14</v>
      </c>
      <c r="AL38" s="500" t="s">
        <v>37</v>
      </c>
      <c r="AM38" s="500" t="s">
        <v>15</v>
      </c>
      <c r="AN38" s="501" t="s">
        <v>14</v>
      </c>
    </row>
    <row r="39" spans="1:44" s="465" customFormat="1" ht="16.2" customHeight="1" x14ac:dyDescent="0.3">
      <c r="A39" s="197"/>
      <c r="B39" s="285"/>
      <c r="C39" s="132"/>
      <c r="D39" s="453" t="str">
        <f t="shared" ref="D39:D62" si="0">D8</f>
        <v>ARIADNA SORIANO LAVIN</v>
      </c>
      <c r="E39" s="502"/>
      <c r="F39" s="503"/>
      <c r="G39" s="504"/>
      <c r="H39" s="505">
        <v>2770</v>
      </c>
      <c r="I39" s="506">
        <v>45905</v>
      </c>
      <c r="J39" s="507">
        <v>8302505</v>
      </c>
      <c r="K39" s="505">
        <v>3170</v>
      </c>
      <c r="L39" s="506">
        <v>45940</v>
      </c>
      <c r="M39" s="507">
        <v>9638278</v>
      </c>
      <c r="N39" s="505">
        <v>3170</v>
      </c>
      <c r="O39" s="506">
        <v>45966</v>
      </c>
      <c r="P39" s="507">
        <v>4543291</v>
      </c>
      <c r="Q39" s="505">
        <v>3170</v>
      </c>
      <c r="R39" s="506">
        <v>45996</v>
      </c>
      <c r="S39" s="507">
        <v>54895621</v>
      </c>
      <c r="T39" s="505">
        <v>2686</v>
      </c>
      <c r="U39" s="506">
        <v>46025</v>
      </c>
      <c r="V39" s="507">
        <v>2069159</v>
      </c>
      <c r="W39" s="508"/>
      <c r="X39" s="503"/>
      <c r="Y39" s="504"/>
      <c r="Z39" s="505">
        <v>2686</v>
      </c>
      <c r="AA39" s="509">
        <v>46055</v>
      </c>
      <c r="AB39" s="510">
        <v>58974623</v>
      </c>
      <c r="AC39" s="505">
        <v>2686</v>
      </c>
      <c r="AD39" s="509">
        <v>46085</v>
      </c>
      <c r="AE39" s="507">
        <v>7009621</v>
      </c>
      <c r="AF39" s="505">
        <v>2700</v>
      </c>
      <c r="AG39" s="509">
        <v>46113</v>
      </c>
      <c r="AH39" s="507">
        <v>663958</v>
      </c>
      <c r="AI39" s="505">
        <v>2770</v>
      </c>
      <c r="AJ39" s="509">
        <v>46146</v>
      </c>
      <c r="AK39" s="507">
        <v>40526</v>
      </c>
      <c r="AL39" s="505">
        <v>2770</v>
      </c>
      <c r="AM39" s="509">
        <v>46176</v>
      </c>
      <c r="AN39" s="507">
        <v>30626</v>
      </c>
      <c r="AO39" s="465" t="s">
        <v>816</v>
      </c>
    </row>
    <row r="40" spans="1:44" s="465" customFormat="1" ht="16.2" customHeight="1" x14ac:dyDescent="0.3">
      <c r="A40" s="197"/>
      <c r="B40" s="286"/>
      <c r="C40" s="138"/>
      <c r="D40" s="453" t="str">
        <f t="shared" si="0"/>
        <v>JATZIRI KRISTEL ZURIANO FELIX</v>
      </c>
      <c r="E40" s="511"/>
      <c r="F40" s="512"/>
      <c r="G40" s="513"/>
      <c r="H40" s="514">
        <v>3048</v>
      </c>
      <c r="I40" s="459">
        <v>45904</v>
      </c>
      <c r="J40" s="515">
        <v>98865412</v>
      </c>
      <c r="K40" s="514">
        <v>3048</v>
      </c>
      <c r="L40" s="459">
        <v>45958</v>
      </c>
      <c r="M40" s="515">
        <v>7741020</v>
      </c>
      <c r="N40" s="514">
        <v>3048</v>
      </c>
      <c r="O40" s="459">
        <v>45997</v>
      </c>
      <c r="P40" s="515">
        <v>774102</v>
      </c>
      <c r="Q40" s="514">
        <v>3048</v>
      </c>
      <c r="R40" s="459">
        <v>46014</v>
      </c>
      <c r="S40" s="515">
        <v>774102</v>
      </c>
      <c r="T40" s="514">
        <v>3048</v>
      </c>
      <c r="U40" s="459">
        <v>46080</v>
      </c>
      <c r="V40" s="515">
        <v>774102</v>
      </c>
      <c r="W40" s="516"/>
      <c r="X40" s="512"/>
      <c r="Y40" s="513"/>
      <c r="Z40" s="514">
        <v>3048</v>
      </c>
      <c r="AA40" s="459">
        <v>46080</v>
      </c>
      <c r="AB40" s="517">
        <v>774102</v>
      </c>
      <c r="AC40" s="514">
        <v>3023</v>
      </c>
      <c r="AD40" s="459">
        <v>46121</v>
      </c>
      <c r="AE40" s="515">
        <v>774102</v>
      </c>
      <c r="AF40" s="514">
        <v>3023</v>
      </c>
      <c r="AG40" s="459">
        <v>46121</v>
      </c>
      <c r="AH40" s="515">
        <v>774102</v>
      </c>
      <c r="AI40" s="514">
        <v>3048</v>
      </c>
      <c r="AJ40" s="459">
        <v>46188</v>
      </c>
      <c r="AK40" s="515" t="s">
        <v>814</v>
      </c>
      <c r="AL40" s="514">
        <v>3048</v>
      </c>
      <c r="AM40" s="459">
        <v>46188</v>
      </c>
      <c r="AN40" s="515" t="s">
        <v>814</v>
      </c>
      <c r="AO40" s="465" t="s">
        <v>819</v>
      </c>
    </row>
    <row r="41" spans="1:44" s="465" customFormat="1" ht="16.2" customHeight="1" x14ac:dyDescent="0.3">
      <c r="A41" s="197"/>
      <c r="B41" s="286"/>
      <c r="C41" s="138"/>
      <c r="D41" s="453" t="str">
        <f t="shared" si="0"/>
        <v xml:space="preserve">EVAN MATIAS ZARAGOZA MATINEZ </v>
      </c>
      <c r="E41" s="518">
        <v>2540</v>
      </c>
      <c r="F41" s="459">
        <v>45874</v>
      </c>
      <c r="G41" s="515">
        <v>8.5902334614321696E+16</v>
      </c>
      <c r="H41" s="514">
        <v>2540</v>
      </c>
      <c r="I41" s="459">
        <v>45901</v>
      </c>
      <c r="J41" s="515">
        <v>8.5901267554324304E+16</v>
      </c>
      <c r="K41" s="514">
        <v>2540</v>
      </c>
      <c r="L41" s="459">
        <v>45932</v>
      </c>
      <c r="M41" s="515">
        <v>8.5903552734327504E+16</v>
      </c>
      <c r="N41" s="514">
        <v>2540</v>
      </c>
      <c r="O41" s="459">
        <v>45960</v>
      </c>
      <c r="P41" s="515">
        <v>8.5909705814330304E+16</v>
      </c>
      <c r="Q41" s="514">
        <v>2540</v>
      </c>
      <c r="R41" s="459">
        <v>45989</v>
      </c>
      <c r="S41" s="515">
        <v>8.59059453043332E+16</v>
      </c>
      <c r="T41" s="514">
        <v>2540</v>
      </c>
      <c r="U41" s="459">
        <v>46020</v>
      </c>
      <c r="V41" s="515">
        <v>8.5903441484336304E+16</v>
      </c>
      <c r="W41" s="514">
        <v>2540</v>
      </c>
      <c r="X41" s="459">
        <v>46000</v>
      </c>
      <c r="Y41" s="515">
        <v>8.5900677014334304E+16</v>
      </c>
      <c r="Z41" s="514">
        <v>2540</v>
      </c>
      <c r="AA41" s="459">
        <v>46055</v>
      </c>
      <c r="AB41" s="517">
        <v>54897621</v>
      </c>
      <c r="AC41" s="514">
        <v>2540</v>
      </c>
      <c r="AD41" s="459">
        <v>46080</v>
      </c>
      <c r="AE41" s="515">
        <v>8.5900894734305792E+16</v>
      </c>
      <c r="AF41" s="514">
        <v>2540</v>
      </c>
      <c r="AG41" s="459">
        <v>46119</v>
      </c>
      <c r="AH41" s="515">
        <v>8.5902253914309696E+16</v>
      </c>
      <c r="AI41" s="514">
        <v>2540</v>
      </c>
      <c r="AJ41" s="1039">
        <v>46148</v>
      </c>
      <c r="AK41" s="515">
        <v>444312668</v>
      </c>
      <c r="AL41" s="514">
        <v>2540</v>
      </c>
      <c r="AM41" s="459">
        <v>46176</v>
      </c>
      <c r="AN41" s="515">
        <v>224315464</v>
      </c>
      <c r="AO41" s="465" t="s">
        <v>816</v>
      </c>
    </row>
    <row r="42" spans="1:44" s="465" customFormat="1" ht="16.2" customHeight="1" x14ac:dyDescent="0.3">
      <c r="A42" s="197"/>
      <c r="B42" s="286"/>
      <c r="C42" s="138"/>
      <c r="D42" s="453" t="str">
        <f t="shared" si="0"/>
        <v>HANNA NICOLE SALOME GOMEZ</v>
      </c>
      <c r="E42" s="511"/>
      <c r="F42" s="512"/>
      <c r="G42" s="513"/>
      <c r="H42" s="514">
        <v>3048</v>
      </c>
      <c r="I42" s="459">
        <v>45904</v>
      </c>
      <c r="J42" s="515" t="s">
        <v>72</v>
      </c>
      <c r="K42" s="514">
        <v>3050</v>
      </c>
      <c r="L42" s="459">
        <v>45934</v>
      </c>
      <c r="M42" s="515">
        <v>434038</v>
      </c>
      <c r="N42" s="514">
        <v>3050</v>
      </c>
      <c r="O42" s="459">
        <v>45972</v>
      </c>
      <c r="P42" s="515">
        <v>79311</v>
      </c>
      <c r="Q42" s="514">
        <v>3050</v>
      </c>
      <c r="R42" s="459">
        <v>46028</v>
      </c>
      <c r="S42" s="515">
        <v>918804</v>
      </c>
      <c r="T42" s="514">
        <v>3050</v>
      </c>
      <c r="U42" s="459">
        <v>46028</v>
      </c>
      <c r="V42" s="515">
        <v>89746321</v>
      </c>
      <c r="W42" s="516"/>
      <c r="X42" s="512"/>
      <c r="Y42" s="513"/>
      <c r="Z42" s="514">
        <v>3050</v>
      </c>
      <c r="AA42" s="459">
        <v>46059</v>
      </c>
      <c r="AB42" s="517">
        <v>48122178</v>
      </c>
      <c r="AC42" s="514">
        <v>3050</v>
      </c>
      <c r="AD42" s="459">
        <v>46089</v>
      </c>
      <c r="AE42" s="515">
        <v>54789631</v>
      </c>
      <c r="AF42" s="514">
        <v>3050</v>
      </c>
      <c r="AG42" s="459">
        <v>46116</v>
      </c>
      <c r="AH42" s="515">
        <v>58978623</v>
      </c>
      <c r="AI42" s="514">
        <v>3050</v>
      </c>
      <c r="AJ42" s="459">
        <v>46164</v>
      </c>
      <c r="AK42" s="515" t="s">
        <v>690</v>
      </c>
      <c r="AL42" s="514">
        <v>3050</v>
      </c>
      <c r="AM42" s="459">
        <v>45799</v>
      </c>
      <c r="AN42" s="515" t="s">
        <v>691</v>
      </c>
      <c r="AO42" s="465" t="s">
        <v>819</v>
      </c>
    </row>
    <row r="43" spans="1:44" s="465" customFormat="1" ht="16.2" customHeight="1" x14ac:dyDescent="0.3">
      <c r="A43" s="197"/>
      <c r="B43" s="286"/>
      <c r="C43" s="138"/>
      <c r="D43" s="453" t="str">
        <f t="shared" si="0"/>
        <v xml:space="preserve">JIMENNA SOFIA OCHA </v>
      </c>
      <c r="E43" s="511"/>
      <c r="F43" s="512"/>
      <c r="G43" s="513"/>
      <c r="H43" s="514">
        <v>3048</v>
      </c>
      <c r="I43" s="459">
        <v>45909</v>
      </c>
      <c r="J43" s="515">
        <v>84971350</v>
      </c>
      <c r="K43" s="514">
        <v>3048</v>
      </c>
      <c r="L43" s="459">
        <v>45931</v>
      </c>
      <c r="M43" s="515">
        <v>92414255</v>
      </c>
      <c r="N43" s="514">
        <v>3048</v>
      </c>
      <c r="O43" s="459">
        <v>45964</v>
      </c>
      <c r="P43" s="515">
        <v>80467545</v>
      </c>
      <c r="Q43" s="514">
        <v>3048</v>
      </c>
      <c r="R43" s="459">
        <v>45996</v>
      </c>
      <c r="S43" s="515">
        <v>75359819</v>
      </c>
      <c r="T43" s="514">
        <v>3048</v>
      </c>
      <c r="U43" s="459">
        <v>46027</v>
      </c>
      <c r="V43" s="515" t="s">
        <v>440</v>
      </c>
      <c r="W43" s="516"/>
      <c r="X43" s="512"/>
      <c r="Y43" s="513"/>
      <c r="Z43" s="514">
        <v>3048</v>
      </c>
      <c r="AA43" s="459">
        <v>46055</v>
      </c>
      <c r="AB43" s="517">
        <v>58994917</v>
      </c>
      <c r="AC43" s="514">
        <v>3048</v>
      </c>
      <c r="AD43" s="459">
        <v>46083</v>
      </c>
      <c r="AE43" s="515">
        <v>86719271</v>
      </c>
      <c r="AF43" s="514">
        <v>3048</v>
      </c>
      <c r="AG43" s="459">
        <v>46115</v>
      </c>
      <c r="AH43" s="515">
        <v>37342463</v>
      </c>
      <c r="AI43" s="514">
        <v>3048</v>
      </c>
      <c r="AJ43" s="459">
        <v>46143</v>
      </c>
      <c r="AK43" s="515">
        <v>319947</v>
      </c>
      <c r="AL43" s="514">
        <v>3048</v>
      </c>
      <c r="AM43" s="459">
        <v>46174</v>
      </c>
      <c r="AN43" s="515">
        <v>31468648</v>
      </c>
      <c r="AO43" s="465" t="s">
        <v>822</v>
      </c>
    </row>
    <row r="44" spans="1:44" s="484" customFormat="1" ht="16.2" customHeight="1" x14ac:dyDescent="0.3">
      <c r="A44" s="187"/>
      <c r="B44" s="373"/>
      <c r="C44" s="380"/>
      <c r="D44" s="453" t="str">
        <f t="shared" si="0"/>
        <v>RENATA VALENTINA LOPEZ CRUZ</v>
      </c>
      <c r="E44" s="1115"/>
      <c r="F44" s="1116"/>
      <c r="G44" s="1117"/>
      <c r="H44" s="723">
        <v>2309</v>
      </c>
      <c r="I44" s="481">
        <v>45897</v>
      </c>
      <c r="J44" s="722">
        <v>178267</v>
      </c>
      <c r="K44" s="723">
        <v>2309</v>
      </c>
      <c r="L44" s="481">
        <v>45934</v>
      </c>
      <c r="M44" s="719">
        <v>91025</v>
      </c>
      <c r="N44" s="723">
        <v>2309</v>
      </c>
      <c r="O44" s="481">
        <v>45966</v>
      </c>
      <c r="P44" s="719" t="s">
        <v>72</v>
      </c>
      <c r="Q44" s="723">
        <v>2309</v>
      </c>
      <c r="R44" s="481">
        <v>45996</v>
      </c>
      <c r="S44" s="722">
        <v>54897623</v>
      </c>
      <c r="T44" s="723">
        <v>2309</v>
      </c>
      <c r="U44" s="481">
        <v>46027</v>
      </c>
      <c r="V44" s="722">
        <v>70126</v>
      </c>
      <c r="W44" s="723">
        <v>2309</v>
      </c>
      <c r="X44" s="481">
        <v>45996</v>
      </c>
      <c r="Y44" s="719">
        <v>89792134</v>
      </c>
      <c r="Z44" s="723">
        <v>2709</v>
      </c>
      <c r="AA44" s="481">
        <v>46086</v>
      </c>
      <c r="AB44" s="722">
        <v>614487</v>
      </c>
      <c r="AC44" s="723">
        <v>2709</v>
      </c>
      <c r="AD44" s="481">
        <v>46086</v>
      </c>
      <c r="AE44" s="719">
        <v>614487</v>
      </c>
      <c r="AF44" s="723">
        <v>2709</v>
      </c>
      <c r="AG44" s="481">
        <v>46141</v>
      </c>
      <c r="AH44" s="719">
        <v>909023084311960</v>
      </c>
      <c r="AI44" s="723">
        <v>2709</v>
      </c>
      <c r="AJ44" s="481">
        <v>46156</v>
      </c>
      <c r="AK44" s="719">
        <v>414313466</v>
      </c>
      <c r="AL44" s="723">
        <v>2709</v>
      </c>
      <c r="AM44" s="481">
        <v>46183</v>
      </c>
      <c r="AN44" s="719">
        <v>14316166</v>
      </c>
      <c r="AO44" s="484" t="s">
        <v>847</v>
      </c>
    </row>
    <row r="45" spans="1:44" s="465" customFormat="1" ht="16.2" customHeight="1" x14ac:dyDescent="0.3">
      <c r="A45" s="197"/>
      <c r="B45" s="287"/>
      <c r="C45" s="138"/>
      <c r="D45" s="453" t="str">
        <f t="shared" si="0"/>
        <v>LUISA PAULETTE SANCHEZ SANTOS</v>
      </c>
      <c r="E45" s="514">
        <v>2540</v>
      </c>
      <c r="F45" s="459">
        <v>45902</v>
      </c>
      <c r="G45" s="520" t="s">
        <v>427</v>
      </c>
      <c r="H45" s="514">
        <v>2540</v>
      </c>
      <c r="I45" s="459">
        <v>45902</v>
      </c>
      <c r="J45" s="515">
        <v>868081</v>
      </c>
      <c r="K45" s="514">
        <v>2540</v>
      </c>
      <c r="L45" s="459">
        <v>45936</v>
      </c>
      <c r="M45" s="515">
        <v>213959</v>
      </c>
      <c r="N45" s="514">
        <v>2540</v>
      </c>
      <c r="O45" s="459">
        <v>45966</v>
      </c>
      <c r="P45" s="515" t="s">
        <v>440</v>
      </c>
      <c r="Q45" s="514">
        <v>2540</v>
      </c>
      <c r="R45" s="459">
        <v>45997</v>
      </c>
      <c r="S45" s="515">
        <v>48792132</v>
      </c>
      <c r="T45" s="516"/>
      <c r="U45" s="512"/>
      <c r="V45" s="513"/>
      <c r="W45" s="514">
        <v>2540</v>
      </c>
      <c r="X45" s="459">
        <v>45997</v>
      </c>
      <c r="Y45" s="515">
        <v>48792132</v>
      </c>
      <c r="Z45" s="514">
        <v>2540</v>
      </c>
      <c r="AA45" s="459">
        <v>46058</v>
      </c>
      <c r="AB45" s="517">
        <v>91576</v>
      </c>
      <c r="AC45" s="514">
        <v>2540</v>
      </c>
      <c r="AD45" s="459">
        <v>46085</v>
      </c>
      <c r="AE45" s="515">
        <v>51695</v>
      </c>
      <c r="AF45" s="514">
        <v>2540</v>
      </c>
      <c r="AG45" s="459">
        <v>46086</v>
      </c>
      <c r="AH45" s="515">
        <v>51695</v>
      </c>
      <c r="AI45" s="514">
        <v>2540</v>
      </c>
      <c r="AJ45" s="459">
        <v>46149</v>
      </c>
      <c r="AK45" s="515" t="s">
        <v>527</v>
      </c>
      <c r="AL45" s="514">
        <v>2540</v>
      </c>
      <c r="AM45" s="459">
        <v>46179</v>
      </c>
      <c r="AN45" s="515" t="s">
        <v>783</v>
      </c>
      <c r="AO45" s="1040" t="s">
        <v>528</v>
      </c>
      <c r="AP45" s="465" t="s">
        <v>822</v>
      </c>
    </row>
    <row r="46" spans="1:44" s="465" customFormat="1" ht="16.2" customHeight="1" x14ac:dyDescent="0.3">
      <c r="A46" s="197"/>
      <c r="B46" s="286"/>
      <c r="C46" s="138"/>
      <c r="D46" s="453" t="str">
        <f t="shared" si="0"/>
        <v xml:space="preserve">VANIA ZOE FARIAS BAHENA </v>
      </c>
      <c r="E46" s="516">
        <v>2540</v>
      </c>
      <c r="F46" s="512">
        <v>46208</v>
      </c>
      <c r="G46" s="513">
        <v>2862924</v>
      </c>
      <c r="H46" s="514">
        <v>2540</v>
      </c>
      <c r="I46" s="459">
        <v>45905</v>
      </c>
      <c r="J46" s="515">
        <v>8650950</v>
      </c>
      <c r="K46" s="514">
        <v>2540</v>
      </c>
      <c r="L46" s="459">
        <v>45935</v>
      </c>
      <c r="M46" s="515">
        <v>4198604</v>
      </c>
      <c r="N46" s="514">
        <v>2540</v>
      </c>
      <c r="O46" s="459">
        <v>45966</v>
      </c>
      <c r="P46" s="515">
        <v>5535101</v>
      </c>
      <c r="Q46" s="514">
        <v>2540</v>
      </c>
      <c r="R46" s="459">
        <v>45996</v>
      </c>
      <c r="S46" s="515">
        <v>1495722</v>
      </c>
      <c r="T46" s="514">
        <v>2540</v>
      </c>
      <c r="U46" s="459">
        <v>46027</v>
      </c>
      <c r="V46" s="515">
        <v>9059678</v>
      </c>
      <c r="W46" s="514">
        <v>2540</v>
      </c>
      <c r="X46" s="459">
        <v>45993</v>
      </c>
      <c r="Y46" s="515">
        <v>58741236</v>
      </c>
      <c r="Z46" s="514">
        <v>2540</v>
      </c>
      <c r="AA46" s="459">
        <v>46058</v>
      </c>
      <c r="AB46" s="517">
        <v>1373476</v>
      </c>
      <c r="AC46" s="514">
        <v>2540</v>
      </c>
      <c r="AD46" s="459">
        <v>46117</v>
      </c>
      <c r="AE46" s="515">
        <v>2820694</v>
      </c>
      <c r="AF46" s="514">
        <v>2540</v>
      </c>
      <c r="AG46" s="459">
        <v>46117</v>
      </c>
      <c r="AH46" s="515">
        <v>1846459</v>
      </c>
      <c r="AI46" s="514">
        <v>2540</v>
      </c>
      <c r="AJ46" s="459">
        <v>46147</v>
      </c>
      <c r="AK46" s="515">
        <v>4416598</v>
      </c>
      <c r="AL46" s="514">
        <v>2540</v>
      </c>
      <c r="AM46" s="459">
        <v>46178</v>
      </c>
      <c r="AN46" s="515">
        <v>715659</v>
      </c>
      <c r="AO46" s="465" t="s">
        <v>819</v>
      </c>
    </row>
    <row r="47" spans="1:44" s="465" customFormat="1" ht="16.2" customHeight="1" x14ac:dyDescent="0.3">
      <c r="A47" s="197"/>
      <c r="B47" s="286"/>
      <c r="C47" s="138" t="s">
        <v>810</v>
      </c>
      <c r="D47" s="1019" t="str">
        <f t="shared" si="0"/>
        <v>LEYLA CRUZ ARIZPE</v>
      </c>
      <c r="E47" s="514">
        <v>2309</v>
      </c>
      <c r="F47" s="459">
        <v>45638</v>
      </c>
      <c r="G47" s="515">
        <v>911025</v>
      </c>
      <c r="H47" s="514">
        <v>2309</v>
      </c>
      <c r="I47" s="459">
        <v>45638</v>
      </c>
      <c r="J47" s="515">
        <v>911025</v>
      </c>
      <c r="K47" s="514">
        <v>2309</v>
      </c>
      <c r="L47" s="459">
        <v>45638</v>
      </c>
      <c r="M47" s="515">
        <v>911025</v>
      </c>
      <c r="N47" s="514">
        <v>2309</v>
      </c>
      <c r="O47" s="459">
        <v>46003</v>
      </c>
      <c r="P47" s="515">
        <v>911025</v>
      </c>
      <c r="Q47" s="514">
        <v>2309</v>
      </c>
      <c r="R47" s="459">
        <v>46003</v>
      </c>
      <c r="S47" s="515">
        <v>911025</v>
      </c>
      <c r="T47" s="514">
        <v>2309</v>
      </c>
      <c r="U47" s="514">
        <v>2309</v>
      </c>
      <c r="V47" s="459">
        <v>46003</v>
      </c>
      <c r="W47" s="515">
        <v>2309</v>
      </c>
      <c r="X47" s="459">
        <v>2309</v>
      </c>
      <c r="Y47" s="515">
        <v>46003</v>
      </c>
      <c r="Z47" s="514">
        <v>2309</v>
      </c>
      <c r="AA47" s="459">
        <v>2309</v>
      </c>
      <c r="AB47" s="517">
        <v>46003</v>
      </c>
      <c r="AC47" s="514">
        <v>2309</v>
      </c>
      <c r="AD47" s="459">
        <v>2309</v>
      </c>
      <c r="AE47" s="515">
        <v>46003</v>
      </c>
      <c r="AF47" s="514">
        <v>2309</v>
      </c>
      <c r="AG47" s="459">
        <v>2309</v>
      </c>
      <c r="AH47" s="515">
        <v>46003</v>
      </c>
      <c r="AI47" s="514"/>
      <c r="AJ47" s="459"/>
      <c r="AK47" s="515"/>
      <c r="AL47" s="514"/>
      <c r="AM47" s="459"/>
      <c r="AN47" s="515"/>
    </row>
    <row r="48" spans="1:44" s="465" customFormat="1" ht="16.2" customHeight="1" x14ac:dyDescent="0.3">
      <c r="A48" s="197"/>
      <c r="B48" s="286"/>
      <c r="C48" s="138"/>
      <c r="D48" s="453" t="str">
        <f t="shared" si="0"/>
        <v xml:space="preserve">ANGEL DE JESUS RABANALES ALEGRIA </v>
      </c>
      <c r="E48" s="725">
        <v>2705</v>
      </c>
      <c r="F48" s="459">
        <v>45894</v>
      </c>
      <c r="G48" s="517">
        <v>96304163</v>
      </c>
      <c r="H48" s="725">
        <v>2705</v>
      </c>
      <c r="I48" s="459">
        <v>45894</v>
      </c>
      <c r="J48" s="517">
        <v>96304163</v>
      </c>
      <c r="K48" s="514">
        <v>2705</v>
      </c>
      <c r="L48" s="459">
        <v>45934</v>
      </c>
      <c r="M48" s="515">
        <v>34586911</v>
      </c>
      <c r="N48" s="514">
        <v>2705</v>
      </c>
      <c r="O48" s="459">
        <v>45966</v>
      </c>
      <c r="P48" s="515">
        <v>81061853</v>
      </c>
      <c r="Q48" s="514">
        <v>2705</v>
      </c>
      <c r="R48" s="459">
        <v>45999</v>
      </c>
      <c r="S48" s="515">
        <v>98916367</v>
      </c>
      <c r="T48" s="514">
        <v>2705</v>
      </c>
      <c r="U48" s="459">
        <v>46027</v>
      </c>
      <c r="V48" s="517">
        <v>55497963</v>
      </c>
      <c r="W48" s="516"/>
      <c r="X48" s="512"/>
      <c r="Y48" s="513"/>
      <c r="Z48" s="514">
        <v>3105</v>
      </c>
      <c r="AA48" s="459">
        <v>46038</v>
      </c>
      <c r="AB48" s="517">
        <v>1601260</v>
      </c>
      <c r="AC48" s="514">
        <v>2705</v>
      </c>
      <c r="AD48" s="459">
        <v>46084</v>
      </c>
      <c r="AE48" s="515">
        <v>88703884</v>
      </c>
      <c r="AF48" s="514">
        <v>2705</v>
      </c>
      <c r="AG48" s="459">
        <v>46117</v>
      </c>
      <c r="AH48" s="515">
        <v>82248965</v>
      </c>
      <c r="AI48" s="514">
        <v>2705</v>
      </c>
      <c r="AJ48" s="459">
        <v>46147</v>
      </c>
      <c r="AK48" s="515">
        <v>620285</v>
      </c>
      <c r="AL48" s="514">
        <v>2705</v>
      </c>
      <c r="AM48" s="459">
        <v>46175</v>
      </c>
      <c r="AN48" s="515">
        <v>66334742</v>
      </c>
      <c r="AO48" s="465" t="s">
        <v>816</v>
      </c>
      <c r="AP48" s="1307">
        <v>750</v>
      </c>
      <c r="AQ48" s="1308">
        <v>46199</v>
      </c>
      <c r="AR48" s="1309" t="s">
        <v>835</v>
      </c>
    </row>
    <row r="49" spans="1:41" s="465" customFormat="1" ht="16.2" customHeight="1" x14ac:dyDescent="0.3">
      <c r="A49" s="197"/>
      <c r="B49" s="288"/>
      <c r="C49" s="222" t="s">
        <v>760</v>
      </c>
      <c r="D49" s="453" t="str">
        <f t="shared" si="0"/>
        <v>KARLA DANIELA LUIS CARRERA</v>
      </c>
      <c r="E49" s="1041"/>
      <c r="F49" s="512"/>
      <c r="G49" s="721"/>
      <c r="H49" s="514">
        <v>3246</v>
      </c>
      <c r="I49" s="459">
        <v>45917</v>
      </c>
      <c r="J49" s="515">
        <v>68801</v>
      </c>
      <c r="K49" s="514">
        <v>3246</v>
      </c>
      <c r="L49" s="459">
        <v>45917</v>
      </c>
      <c r="M49" s="515">
        <v>68801</v>
      </c>
      <c r="N49" s="514">
        <v>3246</v>
      </c>
      <c r="O49" s="459">
        <v>45917</v>
      </c>
      <c r="P49" s="515">
        <v>68801</v>
      </c>
      <c r="Q49" s="514">
        <v>3246</v>
      </c>
      <c r="R49" s="459">
        <v>45917</v>
      </c>
      <c r="S49" s="515">
        <v>68801</v>
      </c>
      <c r="T49" s="514">
        <v>3246</v>
      </c>
      <c r="U49" s="459">
        <v>46027</v>
      </c>
      <c r="V49" s="517" t="s">
        <v>489</v>
      </c>
      <c r="W49" s="514">
        <v>3246</v>
      </c>
      <c r="X49" s="459">
        <v>46027</v>
      </c>
      <c r="Y49" s="517" t="s">
        <v>489</v>
      </c>
      <c r="Z49" s="514">
        <v>3246</v>
      </c>
      <c r="AA49" s="459">
        <v>46027</v>
      </c>
      <c r="AB49" s="517" t="s">
        <v>489</v>
      </c>
      <c r="AC49" s="514">
        <v>3246</v>
      </c>
      <c r="AD49" s="459">
        <v>46027</v>
      </c>
      <c r="AE49" s="515" t="s">
        <v>489</v>
      </c>
      <c r="AF49" s="514">
        <v>3246</v>
      </c>
      <c r="AG49" s="459">
        <v>46027</v>
      </c>
      <c r="AH49" s="515" t="s">
        <v>489</v>
      </c>
      <c r="AI49" s="514"/>
      <c r="AJ49" s="459"/>
      <c r="AK49" s="515"/>
      <c r="AL49" s="514"/>
      <c r="AM49" s="459"/>
      <c r="AN49" s="515"/>
      <c r="AO49" s="465" t="s">
        <v>816</v>
      </c>
    </row>
    <row r="50" spans="1:41" s="465" customFormat="1" ht="16.2" customHeight="1" x14ac:dyDescent="0.3">
      <c r="A50" s="197"/>
      <c r="B50" s="286"/>
      <c r="C50" s="138"/>
      <c r="D50" s="1042" t="str">
        <f t="shared" si="0"/>
        <v xml:space="preserve">NAIM JIMENEZ DOMINGUEZ </v>
      </c>
      <c r="E50" s="516"/>
      <c r="F50" s="512"/>
      <c r="G50" s="721"/>
      <c r="H50" s="514">
        <v>3294</v>
      </c>
      <c r="I50" s="459">
        <v>45903</v>
      </c>
      <c r="J50" s="515">
        <v>277410</v>
      </c>
      <c r="K50" s="514">
        <v>2898</v>
      </c>
      <c r="L50" s="459">
        <v>45903</v>
      </c>
      <c r="M50" s="515">
        <v>277410</v>
      </c>
      <c r="N50" s="514">
        <v>3246</v>
      </c>
      <c r="O50" s="459">
        <v>45964</v>
      </c>
      <c r="P50" s="515" t="s">
        <v>488</v>
      </c>
      <c r="Q50" s="514">
        <v>3246</v>
      </c>
      <c r="R50" s="459">
        <v>46364</v>
      </c>
      <c r="S50" s="515">
        <v>64897213</v>
      </c>
      <c r="T50" s="514">
        <v>3246</v>
      </c>
      <c r="U50" s="459">
        <v>46037</v>
      </c>
      <c r="V50" s="517">
        <v>277410</v>
      </c>
      <c r="W50" s="516"/>
      <c r="X50" s="512"/>
      <c r="Y50" s="513"/>
      <c r="Z50" s="514">
        <v>3246</v>
      </c>
      <c r="AA50" s="459">
        <v>46054</v>
      </c>
      <c r="AB50" s="517">
        <v>58742316</v>
      </c>
      <c r="AC50" s="514">
        <v>3246</v>
      </c>
      <c r="AD50" s="459">
        <v>46122</v>
      </c>
      <c r="AE50" s="515">
        <v>277410</v>
      </c>
      <c r="AF50" s="514">
        <f>746+2500</f>
        <v>3246</v>
      </c>
      <c r="AG50" s="459">
        <v>46173</v>
      </c>
      <c r="AH50" s="515" t="s">
        <v>744</v>
      </c>
      <c r="AI50" s="514"/>
      <c r="AJ50" s="459"/>
      <c r="AK50" s="515"/>
      <c r="AL50" s="514"/>
      <c r="AM50" s="459"/>
      <c r="AN50" s="515"/>
      <c r="AO50" s="465" t="s">
        <v>807</v>
      </c>
    </row>
    <row r="51" spans="1:41" s="465" customFormat="1" ht="16.2" customHeight="1" x14ac:dyDescent="0.3">
      <c r="A51" s="197"/>
      <c r="B51" s="286"/>
      <c r="C51" s="138" t="s">
        <v>760</v>
      </c>
      <c r="D51" s="453" t="str">
        <f t="shared" si="0"/>
        <v xml:space="preserve">LIAM EZEQUIEL OVILLA ESPINOZA </v>
      </c>
      <c r="E51" s="516"/>
      <c r="F51" s="512"/>
      <c r="G51" s="513"/>
      <c r="H51" s="514">
        <v>3048</v>
      </c>
      <c r="I51" s="459">
        <v>45905</v>
      </c>
      <c r="J51" s="515">
        <v>485213</v>
      </c>
      <c r="K51" s="514">
        <v>3048</v>
      </c>
      <c r="L51" s="459">
        <v>45905</v>
      </c>
      <c r="M51" s="515">
        <v>485213</v>
      </c>
      <c r="N51" s="514">
        <v>3048</v>
      </c>
      <c r="O51" s="459">
        <v>45905</v>
      </c>
      <c r="P51" s="515">
        <v>485213</v>
      </c>
      <c r="Q51" s="514">
        <v>3048</v>
      </c>
      <c r="R51" s="459">
        <v>45905</v>
      </c>
      <c r="S51" s="515">
        <v>485213</v>
      </c>
      <c r="T51" s="514">
        <v>3048</v>
      </c>
      <c r="U51" s="459">
        <v>45905</v>
      </c>
      <c r="V51" s="515">
        <v>485213</v>
      </c>
      <c r="W51" s="516"/>
      <c r="X51" s="512"/>
      <c r="Y51" s="718"/>
      <c r="Z51" s="514">
        <v>3048</v>
      </c>
      <c r="AA51" s="459">
        <v>45905</v>
      </c>
      <c r="AB51" s="517">
        <v>485213</v>
      </c>
      <c r="AC51" s="514">
        <v>3048</v>
      </c>
      <c r="AD51" s="459">
        <v>45905</v>
      </c>
      <c r="AE51" s="515">
        <v>485213</v>
      </c>
      <c r="AF51" s="514">
        <v>3048</v>
      </c>
      <c r="AG51" s="459">
        <v>45905</v>
      </c>
      <c r="AH51" s="515">
        <v>485213</v>
      </c>
      <c r="AI51" s="514"/>
      <c r="AJ51" s="459"/>
      <c r="AK51" s="515"/>
      <c r="AL51" s="514"/>
      <c r="AM51" s="459"/>
      <c r="AN51" s="515"/>
    </row>
    <row r="52" spans="1:41" s="465" customFormat="1" ht="16.2" customHeight="1" x14ac:dyDescent="0.3">
      <c r="A52" s="197"/>
      <c r="B52" s="286"/>
      <c r="C52" s="138"/>
      <c r="D52" s="453" t="str">
        <f t="shared" si="0"/>
        <v xml:space="preserve">ELIAS EDUARDO SANCHEZ DIAZ </v>
      </c>
      <c r="E52" s="516"/>
      <c r="F52" s="512"/>
      <c r="G52" s="721"/>
      <c r="H52" s="514">
        <v>3246</v>
      </c>
      <c r="I52" s="459">
        <v>45902</v>
      </c>
      <c r="J52" s="515">
        <v>7290</v>
      </c>
      <c r="K52" s="514">
        <v>3246</v>
      </c>
      <c r="L52" s="459">
        <v>45933</v>
      </c>
      <c r="M52" s="515">
        <v>7314</v>
      </c>
      <c r="N52" s="514">
        <v>3246</v>
      </c>
      <c r="O52" s="459">
        <v>45967</v>
      </c>
      <c r="P52" s="515">
        <v>7336</v>
      </c>
      <c r="Q52" s="514">
        <v>3246</v>
      </c>
      <c r="R52" s="459">
        <v>45994</v>
      </c>
      <c r="S52" s="515">
        <v>7356</v>
      </c>
      <c r="T52" s="514">
        <v>3246</v>
      </c>
      <c r="U52" s="459">
        <v>46023</v>
      </c>
      <c r="V52" s="517">
        <v>7386</v>
      </c>
      <c r="W52" s="516"/>
      <c r="X52" s="512"/>
      <c r="Y52" s="513"/>
      <c r="Z52" s="514">
        <v>3246</v>
      </c>
      <c r="AA52" s="459">
        <v>46059</v>
      </c>
      <c r="AB52" s="517" t="s">
        <v>512</v>
      </c>
      <c r="AC52" s="514">
        <v>3246</v>
      </c>
      <c r="AD52" s="459">
        <v>46086</v>
      </c>
      <c r="AE52" s="515" t="s">
        <v>513</v>
      </c>
      <c r="AF52" s="514">
        <v>3246</v>
      </c>
      <c r="AG52" s="459">
        <v>46122</v>
      </c>
      <c r="AH52" s="515" t="s">
        <v>515</v>
      </c>
      <c r="AI52" s="514">
        <v>3245</v>
      </c>
      <c r="AJ52" s="459">
        <v>46176</v>
      </c>
      <c r="AK52" s="515" t="s">
        <v>768</v>
      </c>
      <c r="AL52" s="514">
        <v>3245</v>
      </c>
      <c r="AM52" s="459">
        <v>46176</v>
      </c>
      <c r="AN52" s="515" t="s">
        <v>769</v>
      </c>
      <c r="AO52" s="465" t="s">
        <v>816</v>
      </c>
    </row>
    <row r="53" spans="1:41" s="465" customFormat="1" ht="16.2" customHeight="1" x14ac:dyDescent="0.3">
      <c r="A53" s="197"/>
      <c r="B53" s="286"/>
      <c r="C53" s="138"/>
      <c r="D53" s="1020" t="str">
        <f t="shared" si="0"/>
        <v>NOE DAVID GARCIA NELSON</v>
      </c>
      <c r="E53" s="516"/>
      <c r="F53" s="512"/>
      <c r="G53" s="721"/>
      <c r="H53" s="514">
        <v>3246</v>
      </c>
      <c r="I53" s="459">
        <v>45905</v>
      </c>
      <c r="J53" s="517">
        <v>60337415</v>
      </c>
      <c r="K53" s="514">
        <v>3246</v>
      </c>
      <c r="L53" s="459">
        <v>45935</v>
      </c>
      <c r="M53" s="517">
        <v>6840651</v>
      </c>
      <c r="N53" s="514">
        <v>3246</v>
      </c>
      <c r="O53" s="459">
        <v>46005</v>
      </c>
      <c r="P53" s="517">
        <v>4224894</v>
      </c>
      <c r="Q53" s="514">
        <v>3246</v>
      </c>
      <c r="R53" s="459">
        <v>46005</v>
      </c>
      <c r="S53" s="517">
        <v>4224894</v>
      </c>
      <c r="T53" s="514">
        <v>3646</v>
      </c>
      <c r="U53" s="459">
        <v>46038</v>
      </c>
      <c r="V53" s="517">
        <v>6785987</v>
      </c>
      <c r="W53" s="516"/>
      <c r="X53" s="512"/>
      <c r="Y53" s="513"/>
      <c r="Z53" s="514">
        <v>3646</v>
      </c>
      <c r="AA53" s="459">
        <v>46038</v>
      </c>
      <c r="AB53" s="517">
        <v>5487962310</v>
      </c>
      <c r="AC53" s="514">
        <v>3646</v>
      </c>
      <c r="AD53" s="459">
        <v>46100</v>
      </c>
      <c r="AE53" s="515">
        <v>1426508</v>
      </c>
      <c r="AF53" s="514">
        <v>3646</v>
      </c>
      <c r="AG53" s="459">
        <v>46125</v>
      </c>
      <c r="AH53" s="515">
        <v>9949622</v>
      </c>
      <c r="AI53" s="514"/>
      <c r="AJ53" s="459"/>
      <c r="AK53" s="515"/>
      <c r="AL53" s="514"/>
      <c r="AM53" s="459"/>
      <c r="AN53" s="515"/>
    </row>
    <row r="54" spans="1:41" s="465" customFormat="1" ht="16.2" customHeight="1" x14ac:dyDescent="0.3">
      <c r="A54" s="197"/>
      <c r="B54" s="286"/>
      <c r="C54" s="138"/>
      <c r="D54" s="453" t="str">
        <f t="shared" si="0"/>
        <v>ANGEL JOSUE SERAPIO ZUÑIGA</v>
      </c>
      <c r="E54" s="516"/>
      <c r="F54" s="512"/>
      <c r="G54" s="721"/>
      <c r="H54" s="514">
        <v>2770</v>
      </c>
      <c r="I54" s="459">
        <v>45813</v>
      </c>
      <c r="J54" s="517">
        <v>60337415</v>
      </c>
      <c r="K54" s="514">
        <v>2770</v>
      </c>
      <c r="L54" s="459">
        <v>45923</v>
      </c>
      <c r="M54" s="517">
        <v>89661132</v>
      </c>
      <c r="N54" s="514">
        <v>2841</v>
      </c>
      <c r="O54" s="459">
        <v>45966</v>
      </c>
      <c r="P54" s="517">
        <v>2496991</v>
      </c>
      <c r="Q54" s="514">
        <v>2771</v>
      </c>
      <c r="R54" s="459">
        <v>46002</v>
      </c>
      <c r="S54" s="517">
        <v>6861158</v>
      </c>
      <c r="T54" s="1043">
        <v>2771</v>
      </c>
      <c r="U54" s="1044">
        <v>46037</v>
      </c>
      <c r="V54" s="517">
        <v>142148792154</v>
      </c>
      <c r="W54" s="516"/>
      <c r="X54" s="512"/>
      <c r="Y54" s="513"/>
      <c r="Z54" s="1043">
        <v>2771</v>
      </c>
      <c r="AA54" s="1044">
        <v>46063</v>
      </c>
      <c r="AB54" s="517">
        <v>1610335</v>
      </c>
      <c r="AC54" s="720">
        <v>2771</v>
      </c>
      <c r="AD54" s="1039">
        <v>46092</v>
      </c>
      <c r="AE54" s="515">
        <v>3331528</v>
      </c>
      <c r="AF54" s="514">
        <v>2771</v>
      </c>
      <c r="AG54" s="459">
        <v>46116</v>
      </c>
      <c r="AH54" s="515">
        <v>2018820</v>
      </c>
      <c r="AI54" s="1045">
        <v>2770</v>
      </c>
      <c r="AJ54" s="1046">
        <v>46153</v>
      </c>
      <c r="AK54" s="515">
        <v>6069297</v>
      </c>
      <c r="AL54" s="514">
        <v>2770</v>
      </c>
      <c r="AM54" s="459">
        <v>46182</v>
      </c>
      <c r="AN54" s="515">
        <v>970125</v>
      </c>
    </row>
    <row r="55" spans="1:41" s="465" customFormat="1" ht="16.2" customHeight="1" x14ac:dyDescent="0.3">
      <c r="A55" s="197"/>
      <c r="B55" s="286"/>
      <c r="C55" s="138"/>
      <c r="D55" s="810" t="str">
        <f t="shared" si="0"/>
        <v>ADA MARIA TORRES JUAREZ</v>
      </c>
      <c r="E55" s="516"/>
      <c r="F55" s="512"/>
      <c r="G55" s="721"/>
      <c r="H55" s="514">
        <v>2640</v>
      </c>
      <c r="I55" s="459">
        <v>45915</v>
      </c>
      <c r="J55" s="517">
        <v>1509251</v>
      </c>
      <c r="K55" s="514">
        <v>2640</v>
      </c>
      <c r="L55" s="459">
        <v>45958</v>
      </c>
      <c r="M55" s="517">
        <v>71374561</v>
      </c>
      <c r="N55" s="514">
        <v>2640</v>
      </c>
      <c r="O55" s="459">
        <v>45974</v>
      </c>
      <c r="P55" s="517">
        <v>6573386</v>
      </c>
      <c r="Q55" s="514">
        <v>2640</v>
      </c>
      <c r="R55" s="459">
        <v>46002</v>
      </c>
      <c r="S55" s="517">
        <v>8783276</v>
      </c>
      <c r="T55" s="514">
        <v>2640</v>
      </c>
      <c r="U55" s="459">
        <v>46027</v>
      </c>
      <c r="V55" s="517">
        <v>3183656</v>
      </c>
      <c r="W55" s="516">
        <v>2640</v>
      </c>
      <c r="X55" s="512">
        <v>46002</v>
      </c>
      <c r="Y55" s="513">
        <v>57623736</v>
      </c>
      <c r="Z55" s="514">
        <v>2640</v>
      </c>
      <c r="AA55" s="459">
        <v>46078</v>
      </c>
      <c r="AB55" s="517">
        <v>9440548</v>
      </c>
      <c r="AC55" s="514">
        <v>26550</v>
      </c>
      <c r="AD55" s="459">
        <v>46161</v>
      </c>
      <c r="AE55" s="515">
        <v>828824892</v>
      </c>
      <c r="AF55" s="514">
        <v>2650</v>
      </c>
      <c r="AG55" s="459">
        <v>46161</v>
      </c>
      <c r="AH55" s="515">
        <v>828824892</v>
      </c>
      <c r="AI55" s="514">
        <v>2650</v>
      </c>
      <c r="AJ55" s="459">
        <v>46154</v>
      </c>
      <c r="AK55" s="515">
        <v>828824892</v>
      </c>
      <c r="AL55" s="514"/>
      <c r="AM55" s="459"/>
      <c r="AN55" s="515"/>
      <c r="AO55" s="465" t="s">
        <v>808</v>
      </c>
    </row>
    <row r="56" spans="1:41" s="465" customFormat="1" ht="16.2" customHeight="1" x14ac:dyDescent="0.3">
      <c r="A56" s="197"/>
      <c r="B56" s="286"/>
      <c r="C56" s="138"/>
      <c r="D56" s="453" t="str">
        <f t="shared" si="0"/>
        <v xml:space="preserve">NATHAN DIDIER CARRASCO CASTAÑEDA </v>
      </c>
      <c r="E56" s="516"/>
      <c r="F56" s="512"/>
      <c r="G56" s="721"/>
      <c r="H56" s="514">
        <v>2474</v>
      </c>
      <c r="I56" s="459">
        <v>45907</v>
      </c>
      <c r="J56" s="517">
        <v>50117669</v>
      </c>
      <c r="K56" s="514">
        <v>2474</v>
      </c>
      <c r="L56" s="459">
        <v>45926</v>
      </c>
      <c r="M56" s="517">
        <v>2609250</v>
      </c>
      <c r="N56" s="514">
        <v>2474</v>
      </c>
      <c r="O56" s="459">
        <v>45966</v>
      </c>
      <c r="P56" s="517">
        <v>811250</v>
      </c>
      <c r="Q56" s="514">
        <v>2474</v>
      </c>
      <c r="R56" s="459">
        <v>45966</v>
      </c>
      <c r="S56" s="517">
        <v>2311250</v>
      </c>
      <c r="T56" s="514">
        <v>2474</v>
      </c>
      <c r="U56" s="459">
        <v>46026</v>
      </c>
      <c r="V56" s="517">
        <v>50117669</v>
      </c>
      <c r="W56" s="516"/>
      <c r="X56" s="512"/>
      <c r="Y56" s="513"/>
      <c r="Z56" s="514">
        <v>2474</v>
      </c>
      <c r="AA56" s="459">
        <v>46058</v>
      </c>
      <c r="AB56" s="517">
        <v>98745123</v>
      </c>
      <c r="AC56" s="514">
        <v>2474</v>
      </c>
      <c r="AD56" s="459">
        <v>46095</v>
      </c>
      <c r="AE56" s="515">
        <v>1403260</v>
      </c>
      <c r="AF56" s="514">
        <v>2474</v>
      </c>
      <c r="AG56" s="459">
        <v>46127</v>
      </c>
      <c r="AH56" s="515">
        <v>1504261</v>
      </c>
      <c r="AI56" s="514">
        <v>2474</v>
      </c>
      <c r="AJ56" s="459">
        <v>46153</v>
      </c>
      <c r="AK56" s="515">
        <v>458261</v>
      </c>
      <c r="AL56" s="514">
        <v>2474</v>
      </c>
      <c r="AM56" s="459">
        <v>46167</v>
      </c>
      <c r="AN56" s="515">
        <v>685314</v>
      </c>
    </row>
    <row r="57" spans="1:41" s="465" customFormat="1" ht="16.2" customHeight="1" x14ac:dyDescent="0.3">
      <c r="A57" s="197"/>
      <c r="B57" s="286"/>
      <c r="C57" s="138"/>
      <c r="D57" s="453" t="str">
        <f t="shared" si="0"/>
        <v xml:space="preserve">GABRIEL ALEJANDRO SERVIN SOBERANO </v>
      </c>
      <c r="E57" s="516"/>
      <c r="F57" s="512"/>
      <c r="G57" s="724"/>
      <c r="H57" s="514">
        <v>2770</v>
      </c>
      <c r="I57" s="459">
        <v>45897</v>
      </c>
      <c r="J57" s="517">
        <v>250828</v>
      </c>
      <c r="K57" s="514">
        <v>2770</v>
      </c>
      <c r="L57" s="459">
        <v>45897</v>
      </c>
      <c r="M57" s="515">
        <v>250828</v>
      </c>
      <c r="N57" s="514">
        <v>2770</v>
      </c>
      <c r="O57" s="459">
        <v>45897</v>
      </c>
      <c r="P57" s="515">
        <v>250828</v>
      </c>
      <c r="Q57" s="514">
        <v>2770</v>
      </c>
      <c r="R57" s="459">
        <v>45897</v>
      </c>
      <c r="S57" s="517">
        <v>250828</v>
      </c>
      <c r="T57" s="514">
        <v>2770</v>
      </c>
      <c r="U57" s="459">
        <v>45897</v>
      </c>
      <c r="V57" s="517">
        <v>250828</v>
      </c>
      <c r="W57" s="516"/>
      <c r="X57" s="512"/>
      <c r="Y57" s="513"/>
      <c r="Z57" s="514">
        <v>2770</v>
      </c>
      <c r="AA57" s="459">
        <v>45897</v>
      </c>
      <c r="AB57" s="517">
        <v>250828</v>
      </c>
      <c r="AC57" s="514">
        <v>2770</v>
      </c>
      <c r="AD57" s="459">
        <v>45897</v>
      </c>
      <c r="AE57" s="515">
        <v>250828</v>
      </c>
      <c r="AF57" s="514">
        <v>2770</v>
      </c>
      <c r="AG57" s="459">
        <v>45897</v>
      </c>
      <c r="AH57" s="515">
        <v>250828</v>
      </c>
      <c r="AI57" s="514">
        <v>2799</v>
      </c>
      <c r="AJ57" s="459">
        <v>46175</v>
      </c>
      <c r="AK57" s="515" t="s">
        <v>762</v>
      </c>
      <c r="AL57" s="514">
        <v>2799</v>
      </c>
      <c r="AM57" s="459">
        <v>46175</v>
      </c>
      <c r="AN57" s="515" t="s">
        <v>762</v>
      </c>
      <c r="AO57" s="465" t="s">
        <v>816</v>
      </c>
    </row>
    <row r="58" spans="1:41" s="465" customFormat="1" ht="16.2" customHeight="1" x14ac:dyDescent="0.3">
      <c r="A58" s="197"/>
      <c r="B58" s="326"/>
      <c r="C58" s="327"/>
      <c r="D58" s="453" t="str">
        <f t="shared" si="0"/>
        <v xml:space="preserve">ZOE ROSADO MARTINEZ </v>
      </c>
      <c r="E58" s="726"/>
      <c r="F58" s="727"/>
      <c r="G58" s="1047"/>
      <c r="H58" s="728">
        <v>2770</v>
      </c>
      <c r="I58" s="714">
        <v>45904</v>
      </c>
      <c r="J58" s="729">
        <v>48907887</v>
      </c>
      <c r="K58" s="728">
        <v>2770</v>
      </c>
      <c r="L58" s="714">
        <v>45936</v>
      </c>
      <c r="M58" s="730" t="s">
        <v>72</v>
      </c>
      <c r="N58" s="728">
        <v>2770</v>
      </c>
      <c r="O58" s="714">
        <v>45967</v>
      </c>
      <c r="P58" s="730">
        <v>8039301</v>
      </c>
      <c r="Q58" s="728">
        <v>2770</v>
      </c>
      <c r="R58" s="714">
        <v>46015</v>
      </c>
      <c r="S58" s="729">
        <v>9949448</v>
      </c>
      <c r="T58" s="728">
        <v>2700</v>
      </c>
      <c r="U58" s="714">
        <v>46026</v>
      </c>
      <c r="V58" s="729">
        <v>69373488</v>
      </c>
      <c r="W58" s="726"/>
      <c r="X58" s="727"/>
      <c r="Y58" s="731"/>
      <c r="Z58" s="728">
        <v>2700</v>
      </c>
      <c r="AA58" s="714">
        <v>46054</v>
      </c>
      <c r="AB58" s="729">
        <v>173225824</v>
      </c>
      <c r="AC58" s="732">
        <v>2700</v>
      </c>
      <c r="AD58" s="733">
        <v>46122</v>
      </c>
      <c r="AE58" s="1048">
        <v>67948402</v>
      </c>
      <c r="AF58" s="732">
        <v>2700</v>
      </c>
      <c r="AG58" s="733">
        <v>46122</v>
      </c>
      <c r="AH58" s="1048">
        <v>67948402</v>
      </c>
      <c r="AI58" s="732">
        <v>2700</v>
      </c>
      <c r="AJ58" s="733">
        <v>46154</v>
      </c>
      <c r="AK58" s="1048">
        <v>57486246</v>
      </c>
      <c r="AL58" s="728">
        <v>2700</v>
      </c>
      <c r="AM58" s="714">
        <v>46195</v>
      </c>
      <c r="AN58" s="730">
        <v>66858798</v>
      </c>
    </row>
    <row r="59" spans="1:41" s="465" customFormat="1" ht="16.2" customHeight="1" x14ac:dyDescent="0.3">
      <c r="A59" s="197"/>
      <c r="B59" s="326"/>
      <c r="C59" s="327"/>
      <c r="D59" s="453" t="str">
        <f t="shared" si="0"/>
        <v>AXEL FABÍAN BARROSO CARDENAS</v>
      </c>
      <c r="E59" s="726"/>
      <c r="F59" s="727"/>
      <c r="G59" s="1047"/>
      <c r="H59" s="728">
        <v>2474</v>
      </c>
      <c r="I59" s="714">
        <v>46034</v>
      </c>
      <c r="J59" s="729">
        <v>52467670</v>
      </c>
      <c r="K59" s="728">
        <v>2474</v>
      </c>
      <c r="L59" s="714">
        <v>46034</v>
      </c>
      <c r="M59" s="729">
        <v>52467670</v>
      </c>
      <c r="N59" s="728">
        <v>2474</v>
      </c>
      <c r="O59" s="714">
        <v>46034</v>
      </c>
      <c r="P59" s="729">
        <v>52467670</v>
      </c>
      <c r="Q59" s="728">
        <v>2474</v>
      </c>
      <c r="R59" s="714">
        <v>46054</v>
      </c>
      <c r="S59" s="729">
        <v>52467670</v>
      </c>
      <c r="T59" s="728">
        <v>2474</v>
      </c>
      <c r="U59" s="714">
        <v>46054</v>
      </c>
      <c r="V59" s="729">
        <v>52467670</v>
      </c>
      <c r="W59" s="726"/>
      <c r="X59" s="727"/>
      <c r="Y59" s="731"/>
      <c r="Z59" s="728">
        <v>2474</v>
      </c>
      <c r="AA59" s="714">
        <v>46054</v>
      </c>
      <c r="AB59" s="729">
        <v>52467670</v>
      </c>
      <c r="AC59" s="728">
        <v>2474</v>
      </c>
      <c r="AD59" s="714">
        <v>46185</v>
      </c>
      <c r="AE59" s="730">
        <v>821872</v>
      </c>
      <c r="AF59" s="728">
        <v>2474</v>
      </c>
      <c r="AG59" s="714">
        <v>46185</v>
      </c>
      <c r="AH59" s="730">
        <v>821872</v>
      </c>
      <c r="AI59" s="728">
        <v>2474</v>
      </c>
      <c r="AJ59" s="714">
        <v>46185</v>
      </c>
      <c r="AK59" s="730">
        <v>821872</v>
      </c>
      <c r="AL59" s="728">
        <v>2474</v>
      </c>
      <c r="AM59" s="714">
        <v>46185</v>
      </c>
      <c r="AN59" s="730">
        <v>821872</v>
      </c>
    </row>
    <row r="60" spans="1:41" s="465" customFormat="1" ht="16.2" customHeight="1" x14ac:dyDescent="0.3">
      <c r="A60" s="197"/>
      <c r="B60" s="326"/>
      <c r="C60" s="327"/>
      <c r="D60" s="1020" t="str">
        <f t="shared" si="0"/>
        <v xml:space="preserve">XIMENA GARDUZA LIMÓN </v>
      </c>
      <c r="E60" s="726"/>
      <c r="F60" s="727"/>
      <c r="G60" s="1047"/>
      <c r="H60" s="728">
        <v>2969</v>
      </c>
      <c r="I60" s="714">
        <v>45951</v>
      </c>
      <c r="J60" s="729">
        <v>51836829</v>
      </c>
      <c r="K60" s="728">
        <v>2969</v>
      </c>
      <c r="L60" s="714">
        <v>45936</v>
      </c>
      <c r="M60" s="730">
        <v>95836432</v>
      </c>
      <c r="N60" s="728">
        <v>2969</v>
      </c>
      <c r="O60" s="714">
        <v>45936</v>
      </c>
      <c r="P60" s="730">
        <v>95867385</v>
      </c>
      <c r="Q60" s="728">
        <v>2969</v>
      </c>
      <c r="R60" s="714">
        <v>46036</v>
      </c>
      <c r="S60" s="729">
        <v>94966950</v>
      </c>
      <c r="T60" s="728">
        <v>2969</v>
      </c>
      <c r="U60" s="714">
        <v>46025</v>
      </c>
      <c r="V60" s="729">
        <v>86198917</v>
      </c>
      <c r="W60" s="726"/>
      <c r="X60" s="727"/>
      <c r="Y60" s="731"/>
      <c r="Z60" s="728">
        <v>2969</v>
      </c>
      <c r="AA60" s="714">
        <v>46124</v>
      </c>
      <c r="AB60" s="729">
        <v>53709293</v>
      </c>
      <c r="AC60" s="728">
        <v>2969</v>
      </c>
      <c r="AD60" s="714">
        <v>46161</v>
      </c>
      <c r="AE60" s="730">
        <v>84599846</v>
      </c>
      <c r="AF60" s="728"/>
      <c r="AG60" s="714"/>
      <c r="AH60" s="730"/>
      <c r="AI60" s="728"/>
      <c r="AJ60" s="714"/>
      <c r="AK60" s="730"/>
      <c r="AL60" s="728"/>
      <c r="AM60" s="714"/>
      <c r="AN60" s="730"/>
    </row>
    <row r="61" spans="1:41" s="465" customFormat="1" ht="16.2" customHeight="1" x14ac:dyDescent="0.3">
      <c r="A61" s="197"/>
      <c r="B61" s="326"/>
      <c r="C61" s="327"/>
      <c r="D61" s="453" t="str">
        <f t="shared" si="0"/>
        <v xml:space="preserve">GABRIEL ALEJANDRO FUENTES TORRES </v>
      </c>
      <c r="E61" s="726"/>
      <c r="F61" s="727"/>
      <c r="G61" s="1047"/>
      <c r="H61" s="728">
        <v>2770</v>
      </c>
      <c r="I61" s="714">
        <v>45902</v>
      </c>
      <c r="J61" s="729">
        <v>89877960</v>
      </c>
      <c r="K61" s="728">
        <v>3170</v>
      </c>
      <c r="L61" s="714">
        <v>45947</v>
      </c>
      <c r="M61" s="730">
        <v>251017</v>
      </c>
      <c r="N61" s="728">
        <v>2770</v>
      </c>
      <c r="O61" s="714">
        <v>45966</v>
      </c>
      <c r="P61" s="730">
        <v>251105</v>
      </c>
      <c r="Q61" s="728">
        <v>3170</v>
      </c>
      <c r="R61" s="714">
        <v>46021</v>
      </c>
      <c r="S61" s="729">
        <v>251230</v>
      </c>
      <c r="T61" s="728">
        <v>3170</v>
      </c>
      <c r="U61" s="714">
        <v>46027</v>
      </c>
      <c r="V61" s="729">
        <v>260105</v>
      </c>
      <c r="W61" s="726"/>
      <c r="X61" s="727"/>
      <c r="Y61" s="731"/>
      <c r="Z61" s="728">
        <v>3170</v>
      </c>
      <c r="AA61" s="714">
        <v>46058</v>
      </c>
      <c r="AB61" s="729">
        <v>260205</v>
      </c>
      <c r="AC61" s="728">
        <v>3170</v>
      </c>
      <c r="AD61" s="714">
        <v>46086</v>
      </c>
      <c r="AE61" s="730">
        <v>260305</v>
      </c>
      <c r="AF61" s="728">
        <v>3170</v>
      </c>
      <c r="AG61" s="714">
        <v>46086</v>
      </c>
      <c r="AH61" s="730">
        <v>260405</v>
      </c>
      <c r="AI61" s="728">
        <v>2770</v>
      </c>
      <c r="AJ61" s="714">
        <v>46127</v>
      </c>
      <c r="AK61" s="730">
        <v>260415</v>
      </c>
      <c r="AL61" s="728"/>
      <c r="AM61" s="714"/>
      <c r="AN61" s="730"/>
    </row>
    <row r="62" spans="1:41" s="484" customFormat="1" ht="16.2" customHeight="1" x14ac:dyDescent="0.3">
      <c r="A62" s="187"/>
      <c r="B62" s="424"/>
      <c r="C62" s="425"/>
      <c r="D62" s="1042" t="str">
        <f t="shared" si="0"/>
        <v>MELANY AIDEE RODRIGUEZ TOLENTINO</v>
      </c>
      <c r="E62" s="1049"/>
      <c r="F62" s="1050"/>
      <c r="G62" s="1051"/>
      <c r="H62" s="732">
        <v>2770</v>
      </c>
      <c r="I62" s="733">
        <v>45966</v>
      </c>
      <c r="J62" s="734" t="s">
        <v>472</v>
      </c>
      <c r="K62" s="732">
        <v>2770</v>
      </c>
      <c r="L62" s="733">
        <v>45966</v>
      </c>
      <c r="M62" s="1048" t="s">
        <v>472</v>
      </c>
      <c r="N62" s="732">
        <v>2770</v>
      </c>
      <c r="O62" s="733">
        <v>45966</v>
      </c>
      <c r="P62" s="1048" t="s">
        <v>472</v>
      </c>
      <c r="Q62" s="732">
        <v>2770</v>
      </c>
      <c r="R62" s="733">
        <v>46027</v>
      </c>
      <c r="S62" s="734">
        <v>98765412</v>
      </c>
      <c r="T62" s="732">
        <v>2770</v>
      </c>
      <c r="U62" s="733">
        <v>46027</v>
      </c>
      <c r="V62" s="734">
        <v>98765412</v>
      </c>
      <c r="W62" s="1049"/>
      <c r="X62" s="1050"/>
      <c r="Y62" s="1052"/>
      <c r="Z62" s="1053">
        <v>2770</v>
      </c>
      <c r="AA62" s="1054">
        <v>46147</v>
      </c>
      <c r="AB62" s="1055">
        <v>262703</v>
      </c>
      <c r="AC62" s="1053">
        <v>2770</v>
      </c>
      <c r="AD62" s="1054">
        <v>46147</v>
      </c>
      <c r="AE62" s="1056">
        <v>262703</v>
      </c>
      <c r="AF62" s="1053">
        <v>2770</v>
      </c>
      <c r="AG62" s="1054">
        <v>46147</v>
      </c>
      <c r="AH62" s="1056">
        <v>262703</v>
      </c>
      <c r="AI62" s="732"/>
      <c r="AJ62" s="733"/>
      <c r="AK62" s="1048"/>
      <c r="AL62" s="732"/>
      <c r="AM62" s="733"/>
      <c r="AN62" s="1048"/>
    </row>
    <row r="63" spans="1:41" s="465" customFormat="1" ht="16.2" customHeight="1" x14ac:dyDescent="0.3">
      <c r="A63" s="197"/>
      <c r="B63" s="326"/>
      <c r="C63" s="327"/>
      <c r="D63" s="1057" t="str">
        <f t="shared" ref="D63:D65" si="1">D32</f>
        <v>VICTORIA POLA CARDENAS</v>
      </c>
      <c r="E63" s="726"/>
      <c r="F63" s="727"/>
      <c r="G63" s="1047"/>
      <c r="H63" s="728">
        <v>2770</v>
      </c>
      <c r="I63" s="714">
        <v>46358</v>
      </c>
      <c r="J63" s="729">
        <v>21225</v>
      </c>
      <c r="K63" s="728">
        <v>2770</v>
      </c>
      <c r="L63" s="714">
        <v>46358</v>
      </c>
      <c r="M63" s="730">
        <v>21225</v>
      </c>
      <c r="N63" s="728">
        <v>2770</v>
      </c>
      <c r="O63" s="714">
        <v>46358</v>
      </c>
      <c r="P63" s="730">
        <v>21225</v>
      </c>
      <c r="Q63" s="728">
        <v>2770</v>
      </c>
      <c r="R63" s="714">
        <v>46068</v>
      </c>
      <c r="S63" s="729">
        <v>98765412</v>
      </c>
      <c r="T63" s="728">
        <v>2770</v>
      </c>
      <c r="U63" s="714">
        <v>46082</v>
      </c>
      <c r="V63" s="729">
        <v>31245687</v>
      </c>
      <c r="W63" s="726"/>
      <c r="X63" s="727"/>
      <c r="Y63" s="731"/>
      <c r="Z63" s="728"/>
      <c r="AA63" s="714"/>
      <c r="AB63" s="729"/>
      <c r="AC63" s="728"/>
      <c r="AD63" s="714"/>
      <c r="AE63" s="730"/>
      <c r="AF63" s="728"/>
      <c r="AG63" s="714"/>
      <c r="AH63" s="730" t="s">
        <v>713</v>
      </c>
      <c r="AI63" s="728"/>
      <c r="AJ63" s="714"/>
      <c r="AK63" s="730" t="s">
        <v>713</v>
      </c>
      <c r="AL63" s="728"/>
      <c r="AM63" s="714"/>
      <c r="AN63" s="730" t="s">
        <v>713</v>
      </c>
    </row>
    <row r="64" spans="1:41" s="465" customFormat="1" ht="16.2" customHeight="1" x14ac:dyDescent="0.3">
      <c r="A64" s="197"/>
      <c r="B64" s="326"/>
      <c r="C64" s="327"/>
      <c r="D64" s="1057" t="str">
        <f t="shared" si="1"/>
        <v xml:space="preserve">ALISSA XIMENA GUTIERRES DOMINGUEZ </v>
      </c>
      <c r="E64" s="728"/>
      <c r="F64" s="714"/>
      <c r="G64" s="1058"/>
      <c r="H64" s="728">
        <v>2969</v>
      </c>
      <c r="I64" s="714">
        <v>46035</v>
      </c>
      <c r="J64" s="729">
        <v>570688</v>
      </c>
      <c r="K64" s="728">
        <v>2969</v>
      </c>
      <c r="L64" s="714">
        <v>46037</v>
      </c>
      <c r="M64" s="730">
        <v>9792927</v>
      </c>
      <c r="N64" s="728">
        <v>2969</v>
      </c>
      <c r="O64" s="714">
        <v>46037</v>
      </c>
      <c r="P64" s="730">
        <v>4667592</v>
      </c>
      <c r="Q64" s="1059">
        <v>2969</v>
      </c>
      <c r="R64" s="1060">
        <v>46037</v>
      </c>
      <c r="S64" s="1061">
        <v>4736564</v>
      </c>
      <c r="T64" s="1059">
        <v>2969</v>
      </c>
      <c r="U64" s="1060">
        <v>46150</v>
      </c>
      <c r="V64" s="1061">
        <v>2310670</v>
      </c>
      <c r="W64" s="728"/>
      <c r="X64" s="714"/>
      <c r="Y64" s="730"/>
      <c r="Z64" s="728">
        <v>2969</v>
      </c>
      <c r="AA64" s="714">
        <v>46150</v>
      </c>
      <c r="AB64" s="729">
        <v>442224</v>
      </c>
      <c r="AC64" s="728">
        <v>2969</v>
      </c>
      <c r="AD64" s="714" t="s">
        <v>830</v>
      </c>
      <c r="AE64" s="730">
        <v>901276</v>
      </c>
      <c r="AF64" s="728">
        <v>2969</v>
      </c>
      <c r="AG64" s="714">
        <v>46196</v>
      </c>
      <c r="AH64" s="730">
        <v>4725217</v>
      </c>
      <c r="AI64" s="728"/>
      <c r="AJ64" s="714"/>
      <c r="AK64" s="730" t="s">
        <v>713</v>
      </c>
      <c r="AL64" s="728"/>
      <c r="AM64" s="714"/>
      <c r="AN64" s="730"/>
    </row>
    <row r="65" spans="1:41" s="465" customFormat="1" ht="16.2" customHeight="1" x14ac:dyDescent="0.3">
      <c r="A65" s="197"/>
      <c r="B65" s="326"/>
      <c r="C65" s="327"/>
      <c r="D65" s="453" t="str">
        <f t="shared" si="1"/>
        <v>EDITH FERNANDA GARCIA PEÑA</v>
      </c>
      <c r="E65" s="726"/>
      <c r="F65" s="727"/>
      <c r="G65" s="1047"/>
      <c r="H65" s="735"/>
      <c r="I65" s="736"/>
      <c r="J65" s="737"/>
      <c r="K65" s="728">
        <v>2771</v>
      </c>
      <c r="L65" s="714">
        <v>45932</v>
      </c>
      <c r="M65" s="730">
        <v>89983</v>
      </c>
      <c r="N65" s="728">
        <v>2771</v>
      </c>
      <c r="O65" s="714">
        <v>45966</v>
      </c>
      <c r="P65" s="730">
        <v>552233</v>
      </c>
      <c r="Q65" s="728">
        <v>2771</v>
      </c>
      <c r="R65" s="714">
        <v>45997</v>
      </c>
      <c r="S65" s="729">
        <v>24151418</v>
      </c>
      <c r="T65" s="728">
        <v>2771</v>
      </c>
      <c r="U65" s="714">
        <v>46027</v>
      </c>
      <c r="V65" s="729" t="s">
        <v>489</v>
      </c>
      <c r="W65" s="726"/>
      <c r="X65" s="727"/>
      <c r="Y65" s="731"/>
      <c r="Z65" s="728">
        <v>2771</v>
      </c>
      <c r="AA65" s="714">
        <v>46058</v>
      </c>
      <c r="AB65" s="729">
        <v>953212</v>
      </c>
      <c r="AC65" s="728">
        <v>2771</v>
      </c>
      <c r="AD65" s="714">
        <v>46086</v>
      </c>
      <c r="AE65" s="730">
        <v>54897631</v>
      </c>
      <c r="AF65" s="728">
        <v>2771</v>
      </c>
      <c r="AG65" s="714">
        <v>46118</v>
      </c>
      <c r="AH65" s="730">
        <v>28873685</v>
      </c>
      <c r="AI65" s="728">
        <v>2771</v>
      </c>
      <c r="AJ65" s="714">
        <v>46148</v>
      </c>
      <c r="AK65" s="1062" t="s">
        <v>648</v>
      </c>
      <c r="AL65" s="728">
        <v>2771</v>
      </c>
      <c r="AM65" s="714">
        <v>46179</v>
      </c>
      <c r="AN65" s="730" t="s">
        <v>784</v>
      </c>
      <c r="AO65" s="465" t="s">
        <v>816</v>
      </c>
    </row>
    <row r="66" spans="1:41" s="465" customFormat="1" ht="16.2" customHeight="1" x14ac:dyDescent="0.3">
      <c r="A66" s="197"/>
      <c r="B66" s="326"/>
      <c r="C66" s="327"/>
      <c r="D66" s="1020" t="s">
        <v>462</v>
      </c>
      <c r="E66" s="726"/>
      <c r="F66" s="727"/>
      <c r="G66" s="1047"/>
      <c r="H66" s="728">
        <v>2705</v>
      </c>
      <c r="I66" s="714">
        <v>45902</v>
      </c>
      <c r="J66" s="729">
        <v>1510250</v>
      </c>
      <c r="K66" s="728">
        <v>2705</v>
      </c>
      <c r="L66" s="714">
        <v>45936</v>
      </c>
      <c r="M66" s="730">
        <v>1510250</v>
      </c>
      <c r="N66" s="728">
        <v>2705</v>
      </c>
      <c r="O66" s="714">
        <v>45967</v>
      </c>
      <c r="P66" s="730">
        <v>545678</v>
      </c>
      <c r="Q66" s="728">
        <v>2705</v>
      </c>
      <c r="R66" s="714">
        <v>45996</v>
      </c>
      <c r="S66" s="729">
        <v>45896472</v>
      </c>
      <c r="T66" s="728">
        <v>2705</v>
      </c>
      <c r="U66" s="714">
        <v>46026</v>
      </c>
      <c r="V66" s="729">
        <v>89765412</v>
      </c>
      <c r="W66" s="726"/>
      <c r="X66" s="727"/>
      <c r="Y66" s="731"/>
      <c r="Z66" s="728">
        <v>2705</v>
      </c>
      <c r="AA66" s="714">
        <v>46057</v>
      </c>
      <c r="AB66" s="729">
        <v>167380</v>
      </c>
      <c r="AC66" s="728">
        <v>2705</v>
      </c>
      <c r="AD66" s="714">
        <v>46086</v>
      </c>
      <c r="AE66" s="730">
        <v>503260</v>
      </c>
      <c r="AF66" s="728">
        <v>3247</v>
      </c>
      <c r="AG66" s="714">
        <v>46131</v>
      </c>
      <c r="AH66" s="730">
        <v>2904261</v>
      </c>
      <c r="AI66" s="728">
        <v>3105</v>
      </c>
      <c r="AJ66" s="714">
        <v>46189</v>
      </c>
      <c r="AK66" s="730">
        <v>9748869</v>
      </c>
      <c r="AL66" s="728"/>
      <c r="AM66" s="714"/>
      <c r="AN66" s="730"/>
      <c r="AO66" s="465" t="s">
        <v>811</v>
      </c>
    </row>
    <row r="67" spans="1:41" s="465" customFormat="1" ht="16.2" customHeight="1" thickBot="1" x14ac:dyDescent="0.35">
      <c r="A67" s="197"/>
      <c r="B67" s="289"/>
      <c r="C67" s="147"/>
      <c r="D67" s="453"/>
      <c r="E67" s="1063"/>
      <c r="F67" s="1064"/>
      <c r="G67" s="1065"/>
      <c r="H67" s="521"/>
      <c r="I67" s="490"/>
      <c r="J67" s="523"/>
      <c r="K67" s="521"/>
      <c r="L67" s="490"/>
      <c r="M67" s="523"/>
      <c r="N67" s="521"/>
      <c r="O67" s="490"/>
      <c r="P67" s="523"/>
      <c r="Q67" s="521"/>
      <c r="R67" s="490"/>
      <c r="S67" s="522"/>
      <c r="T67" s="521"/>
      <c r="U67" s="490"/>
      <c r="V67" s="523"/>
      <c r="W67" s="1063"/>
      <c r="X67" s="1064"/>
      <c r="Y67" s="1066"/>
      <c r="Z67" s="521"/>
      <c r="AA67" s="490"/>
      <c r="AB67" s="522"/>
      <c r="AC67" s="521"/>
      <c r="AD67" s="490"/>
      <c r="AE67" s="523"/>
      <c r="AF67" s="521"/>
      <c r="AG67" s="490"/>
      <c r="AH67" s="523"/>
      <c r="AI67" s="521"/>
      <c r="AJ67" s="490"/>
      <c r="AK67" s="523"/>
      <c r="AL67" s="521"/>
      <c r="AM67" s="490"/>
      <c r="AN67" s="523"/>
    </row>
  </sheetData>
  <mergeCells count="21">
    <mergeCell ref="F4:Q4"/>
    <mergeCell ref="S4:U4"/>
    <mergeCell ref="F1:Q1"/>
    <mergeCell ref="S1:U1"/>
    <mergeCell ref="F2:Q2"/>
    <mergeCell ref="S2:U2"/>
    <mergeCell ref="F3:Q3"/>
    <mergeCell ref="S3:U3"/>
    <mergeCell ref="B36:AN36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K37"/>
    <mergeCell ref="AL37:AN37"/>
  </mergeCells>
  <phoneticPr fontId="51" type="noConversion"/>
  <conditionalFormatting sqref="E39:AN67">
    <cfRule type="notContainsBlanks" dxfId="8" priority="1">
      <formula>LEN(TRIM(E39))&gt;0</formula>
    </cfRule>
  </conditionalFormatting>
  <conditionalFormatting sqref="F8:T34">
    <cfRule type="notContainsBlanks" dxfId="7" priority="4">
      <formula>LEN(TRIM(F8))&gt;0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0"/>
  <sheetViews>
    <sheetView zoomScale="110" zoomScaleNormal="110" workbookViewId="0">
      <pane xSplit="4" ySplit="3" topLeftCell="E37" activePane="bottomRight" state="frozen"/>
      <selection pane="topRight" activeCell="E1" sqref="E1"/>
      <selection pane="bottomLeft" activeCell="A4" sqref="A4"/>
      <selection pane="bottomRight" activeCell="D44" sqref="D44"/>
    </sheetView>
  </sheetViews>
  <sheetFormatPr baseColWidth="10" defaultColWidth="11.44140625" defaultRowHeight="18" customHeight="1" x14ac:dyDescent="0.25"/>
  <cols>
    <col min="1" max="1" width="13.44140625" style="439" bestFit="1" customWidth="1"/>
    <col min="2" max="2" width="18.77734375" style="439" bestFit="1" customWidth="1"/>
    <col min="3" max="3" width="6.88671875" style="439" customWidth="1"/>
    <col min="4" max="4" width="32" style="439" customWidth="1"/>
    <col min="5" max="5" width="16.6640625" style="439" customWidth="1"/>
    <col min="6" max="6" width="12" style="439" customWidth="1"/>
    <col min="7" max="7" width="28.77734375" style="439" customWidth="1"/>
    <col min="8" max="8" width="22" style="439" customWidth="1"/>
    <col min="9" max="9" width="11.5546875" style="439" customWidth="1"/>
    <col min="10" max="10" width="18.109375" style="439" customWidth="1"/>
    <col min="11" max="11" width="20.109375" style="439" customWidth="1"/>
    <col min="12" max="12" width="11.5546875" style="439" customWidth="1"/>
    <col min="13" max="13" width="18.109375" style="439" customWidth="1"/>
    <col min="14" max="14" width="21.21875" style="439" customWidth="1"/>
    <col min="15" max="15" width="11.5546875" style="439" customWidth="1"/>
    <col min="16" max="16" width="18.109375" style="439" customWidth="1"/>
    <col min="17" max="17" width="22" style="439" customWidth="1"/>
    <col min="18" max="18" width="10.5546875" style="439" customWidth="1"/>
    <col min="19" max="19" width="18.109375" style="439" customWidth="1"/>
    <col min="20" max="20" width="10.44140625" style="439" customWidth="1"/>
    <col min="21" max="21" width="10.5546875" style="439" customWidth="1"/>
    <col min="22" max="22" width="18.109375" style="439" customWidth="1"/>
    <col min="23" max="24" width="11.5546875" style="439" customWidth="1"/>
    <col min="25" max="25" width="18.109375" style="439" customWidth="1"/>
    <col min="26" max="26" width="10.44140625" style="439" customWidth="1"/>
    <col min="27" max="27" width="10.5546875" style="439" customWidth="1"/>
    <col min="28" max="28" width="19.6640625" style="439" customWidth="1"/>
    <col min="29" max="29" width="10.44140625" style="439" bestFit="1" customWidth="1"/>
    <col min="30" max="30" width="10.5546875" style="439" bestFit="1" customWidth="1"/>
    <col min="31" max="31" width="13.5546875" style="439" bestFit="1" customWidth="1"/>
    <col min="32" max="32" width="10.44140625" style="439" bestFit="1" customWidth="1"/>
    <col min="33" max="33" width="11.6640625" style="439" bestFit="1" customWidth="1"/>
    <col min="34" max="34" width="20.6640625" style="439" bestFit="1" customWidth="1"/>
    <col min="35" max="35" width="10.44140625" style="439" bestFit="1" customWidth="1"/>
    <col min="36" max="36" width="10.5546875" style="439" bestFit="1" customWidth="1"/>
    <col min="37" max="37" width="13" style="439" customWidth="1"/>
    <col min="38" max="38" width="10.44140625" style="439" bestFit="1" customWidth="1"/>
    <col min="39" max="39" width="10.5546875" style="439" bestFit="1" customWidth="1"/>
    <col min="40" max="40" width="9.5546875" style="439" bestFit="1" customWidth="1"/>
    <col min="41" max="16384" width="11.44140625" style="439"/>
  </cols>
  <sheetData>
    <row r="1" spans="1:24" ht="18" customHeight="1" thickBot="1" x14ac:dyDescent="0.3">
      <c r="E1" s="440"/>
      <c r="F1" s="1403" t="s">
        <v>0</v>
      </c>
      <c r="G1" s="1403"/>
      <c r="H1" s="1403"/>
      <c r="I1" s="1403"/>
      <c r="J1" s="1403"/>
      <c r="K1" s="1403"/>
      <c r="L1" s="1403"/>
      <c r="M1" s="1403"/>
      <c r="N1" s="1403"/>
      <c r="O1" s="1403"/>
      <c r="P1" s="1403"/>
      <c r="Q1" s="1403"/>
      <c r="R1" s="441"/>
      <c r="S1" s="1393" t="s">
        <v>1</v>
      </c>
      <c r="T1" s="1393"/>
      <c r="U1" s="1394"/>
    </row>
    <row r="2" spans="1:24" ht="18" customHeight="1" thickBot="1" x14ac:dyDescent="0.3">
      <c r="E2" s="442"/>
      <c r="F2" s="1404" t="s">
        <v>2</v>
      </c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443"/>
      <c r="S2" s="1393" t="s">
        <v>3</v>
      </c>
      <c r="T2" s="1393"/>
      <c r="U2" s="1394"/>
    </row>
    <row r="3" spans="1:24" ht="18" customHeight="1" thickBot="1" x14ac:dyDescent="0.3">
      <c r="E3" s="444"/>
      <c r="F3" s="1392" t="s">
        <v>4</v>
      </c>
      <c r="G3" s="1392"/>
      <c r="H3" s="1392"/>
      <c r="I3" s="1392"/>
      <c r="J3" s="1392"/>
      <c r="K3" s="1392"/>
      <c r="L3" s="1392"/>
      <c r="M3" s="1392"/>
      <c r="N3" s="1392"/>
      <c r="O3" s="1392"/>
      <c r="P3" s="1392"/>
      <c r="Q3" s="1392"/>
      <c r="R3" s="445"/>
      <c r="S3" s="1393" t="s">
        <v>5</v>
      </c>
      <c r="T3" s="1393"/>
      <c r="U3" s="1394"/>
    </row>
    <row r="4" spans="1:24" ht="18" customHeight="1" thickBot="1" x14ac:dyDescent="0.3">
      <c r="C4" s="446"/>
      <c r="D4" s="9" t="s">
        <v>6</v>
      </c>
      <c r="F4" s="1392" t="s">
        <v>39</v>
      </c>
      <c r="G4" s="1392"/>
      <c r="H4" s="1392"/>
      <c r="I4" s="1392"/>
      <c r="J4" s="1392"/>
      <c r="K4" s="1392"/>
      <c r="L4" s="1392"/>
      <c r="M4" s="1392"/>
      <c r="N4" s="1392"/>
      <c r="O4" s="1392"/>
      <c r="P4" s="1392"/>
      <c r="Q4" s="1392"/>
      <c r="R4" s="447"/>
      <c r="S4" s="1393" t="s">
        <v>7</v>
      </c>
      <c r="T4" s="1393"/>
      <c r="U4" s="1394"/>
    </row>
    <row r="6" spans="1:24" ht="18" customHeight="1" thickBot="1" x14ac:dyDescent="0.3"/>
    <row r="7" spans="1:24" ht="18" customHeight="1" thickBot="1" x14ac:dyDescent="0.3">
      <c r="B7" s="10" t="s">
        <v>9</v>
      </c>
      <c r="C7" s="11" t="s">
        <v>10</v>
      </c>
      <c r="D7" s="1086" t="s">
        <v>11</v>
      </c>
      <c r="E7" s="14" t="s">
        <v>12</v>
      </c>
      <c r="F7" s="15" t="s">
        <v>13</v>
      </c>
      <c r="G7" s="15" t="s">
        <v>14</v>
      </c>
      <c r="H7" s="16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449" t="s">
        <v>20</v>
      </c>
      <c r="V7" s="450" t="s">
        <v>21</v>
      </c>
      <c r="W7" s="451" t="s">
        <v>22</v>
      </c>
      <c r="X7" s="451" t="s">
        <v>38</v>
      </c>
    </row>
    <row r="8" spans="1:24" s="465" customFormat="1" ht="18" customHeight="1" x14ac:dyDescent="0.3">
      <c r="A8" s="197" t="s">
        <v>183</v>
      </c>
      <c r="B8" s="286" t="s">
        <v>125</v>
      </c>
      <c r="C8" s="138"/>
      <c r="D8" s="1317" t="s">
        <v>56</v>
      </c>
      <c r="E8" s="739" t="s">
        <v>54</v>
      </c>
      <c r="F8" s="704">
        <v>1700</v>
      </c>
      <c r="G8" s="1087">
        <v>277410</v>
      </c>
      <c r="H8" s="705">
        <v>45628</v>
      </c>
      <c r="I8" s="458">
        <v>2890</v>
      </c>
      <c r="J8" s="459">
        <v>45882</v>
      </c>
      <c r="K8" s="460">
        <v>277410</v>
      </c>
      <c r="L8" s="458">
        <v>2499</v>
      </c>
      <c r="M8" s="459">
        <v>45868</v>
      </c>
      <c r="N8" s="460">
        <v>277410</v>
      </c>
      <c r="O8" s="458">
        <v>3600</v>
      </c>
      <c r="P8" s="459">
        <v>45901</v>
      </c>
      <c r="Q8" s="460">
        <v>277410</v>
      </c>
      <c r="R8" s="458"/>
      <c r="S8" s="459"/>
      <c r="T8" s="460"/>
      <c r="U8" s="461"/>
      <c r="V8" s="462"/>
      <c r="W8" s="463"/>
      <c r="X8" s="464"/>
    </row>
    <row r="9" spans="1:24" s="465" customFormat="1" ht="18" customHeight="1" x14ac:dyDescent="0.3">
      <c r="A9" s="197" t="s">
        <v>209</v>
      </c>
      <c r="B9" s="286" t="s">
        <v>125</v>
      </c>
      <c r="C9" s="138"/>
      <c r="D9" s="1317" t="s">
        <v>186</v>
      </c>
      <c r="E9" s="739" t="s">
        <v>54</v>
      </c>
      <c r="F9" s="458">
        <v>1700</v>
      </c>
      <c r="G9" s="456">
        <v>1455301</v>
      </c>
      <c r="H9" s="708">
        <v>45761</v>
      </c>
      <c r="I9" s="458"/>
      <c r="J9" s="459"/>
      <c r="K9" s="460"/>
      <c r="L9" s="458"/>
      <c r="M9" s="459"/>
      <c r="N9" s="460"/>
      <c r="O9" s="458">
        <v>7200</v>
      </c>
      <c r="P9" s="459">
        <v>45859</v>
      </c>
      <c r="Q9" s="460">
        <v>1455301</v>
      </c>
      <c r="R9" s="458"/>
      <c r="S9" s="459"/>
      <c r="T9" s="460"/>
      <c r="U9" s="138"/>
      <c r="V9" s="746"/>
      <c r="W9" s="747"/>
      <c r="X9" s="748"/>
    </row>
    <row r="10" spans="1:24" s="465" customFormat="1" ht="18" customHeight="1" x14ac:dyDescent="0.3">
      <c r="A10" s="197" t="s">
        <v>286</v>
      </c>
      <c r="B10" s="326" t="s">
        <v>125</v>
      </c>
      <c r="C10" s="138"/>
      <c r="D10" s="1317" t="s">
        <v>216</v>
      </c>
      <c r="E10" s="739" t="s">
        <v>195</v>
      </c>
      <c r="F10" s="458">
        <v>1700</v>
      </c>
      <c r="G10" s="741">
        <v>45838</v>
      </c>
      <c r="H10" s="708">
        <v>45838</v>
      </c>
      <c r="I10" s="458">
        <v>2890</v>
      </c>
      <c r="J10" s="459">
        <v>45838</v>
      </c>
      <c r="K10" s="460">
        <v>94628</v>
      </c>
      <c r="L10" s="458">
        <v>2499</v>
      </c>
      <c r="M10" s="459">
        <v>45838</v>
      </c>
      <c r="N10" s="472">
        <v>3006250</v>
      </c>
      <c r="O10" s="458">
        <v>7200</v>
      </c>
      <c r="P10" s="459">
        <v>45917</v>
      </c>
      <c r="Q10" s="460">
        <v>1709250</v>
      </c>
      <c r="R10" s="458"/>
      <c r="S10" s="459"/>
      <c r="T10" s="460"/>
      <c r="U10" s="138"/>
      <c r="V10" s="746"/>
      <c r="W10" s="747"/>
      <c r="X10" s="748"/>
    </row>
    <row r="11" spans="1:24" s="465" customFormat="1" ht="18" customHeight="1" x14ac:dyDescent="0.3">
      <c r="A11" s="1318" t="s">
        <v>287</v>
      </c>
      <c r="B11" s="988" t="s">
        <v>125</v>
      </c>
      <c r="C11" s="286"/>
      <c r="D11" s="1317" t="s">
        <v>218</v>
      </c>
      <c r="E11" s="739" t="s">
        <v>195</v>
      </c>
      <c r="F11" s="458">
        <v>1700</v>
      </c>
      <c r="G11" s="456">
        <v>45842</v>
      </c>
      <c r="H11" s="708">
        <v>45842</v>
      </c>
      <c r="I11" s="458">
        <v>2890</v>
      </c>
      <c r="J11" s="459">
        <v>45842</v>
      </c>
      <c r="K11" s="460">
        <v>8.59030852603184E+16</v>
      </c>
      <c r="L11" s="458">
        <v>2499</v>
      </c>
      <c r="M11" s="459">
        <v>45876</v>
      </c>
      <c r="N11" s="460">
        <v>90501257</v>
      </c>
      <c r="O11" s="458">
        <v>7200</v>
      </c>
      <c r="P11" s="459">
        <v>45918</v>
      </c>
      <c r="Q11" s="460">
        <v>65471502</v>
      </c>
      <c r="R11" s="458"/>
      <c r="S11" s="459"/>
      <c r="T11" s="460"/>
      <c r="U11" s="138"/>
      <c r="V11" s="746"/>
      <c r="W11" s="747"/>
      <c r="X11" s="748"/>
    </row>
    <row r="12" spans="1:24" s="465" customFormat="1" ht="18" customHeight="1" x14ac:dyDescent="0.3">
      <c r="A12" s="197" t="s">
        <v>288</v>
      </c>
      <c r="B12" s="285" t="s">
        <v>125</v>
      </c>
      <c r="C12" s="138"/>
      <c r="D12" s="1317" t="s">
        <v>232</v>
      </c>
      <c r="E12" s="739" t="s">
        <v>195</v>
      </c>
      <c r="F12" s="458">
        <v>2040</v>
      </c>
      <c r="G12" s="456" t="s">
        <v>233</v>
      </c>
      <c r="H12" s="708">
        <v>45847</v>
      </c>
      <c r="I12" s="458">
        <v>2890</v>
      </c>
      <c r="J12" s="459">
        <v>45847</v>
      </c>
      <c r="K12" s="460" t="s">
        <v>234</v>
      </c>
      <c r="L12" s="458">
        <v>2499</v>
      </c>
      <c r="M12" s="459">
        <v>45847</v>
      </c>
      <c r="N12" s="460">
        <v>8.5904623844431898E+17</v>
      </c>
      <c r="O12" s="458">
        <v>7200</v>
      </c>
      <c r="P12" s="459">
        <v>45847</v>
      </c>
      <c r="Q12" s="460" t="s">
        <v>236</v>
      </c>
      <c r="R12" s="458"/>
      <c r="S12" s="459"/>
      <c r="T12" s="460"/>
      <c r="U12" s="138"/>
      <c r="V12" s="746"/>
      <c r="W12" s="747"/>
      <c r="X12" s="748"/>
    </row>
    <row r="13" spans="1:24" s="465" customFormat="1" ht="18" customHeight="1" x14ac:dyDescent="0.3">
      <c r="A13" s="197" t="s">
        <v>289</v>
      </c>
      <c r="B13" s="286" t="s">
        <v>77</v>
      </c>
      <c r="C13" s="138"/>
      <c r="D13" s="1317" t="s">
        <v>268</v>
      </c>
      <c r="E13" s="739" t="s">
        <v>87</v>
      </c>
      <c r="F13" s="458" t="s">
        <v>66</v>
      </c>
      <c r="G13" s="456" t="s">
        <v>66</v>
      </c>
      <c r="H13" s="708">
        <v>45863</v>
      </c>
      <c r="I13" s="458">
        <v>2690</v>
      </c>
      <c r="J13" s="459">
        <v>45863</v>
      </c>
      <c r="K13" s="460">
        <v>4373274</v>
      </c>
      <c r="L13" s="458">
        <v>2499</v>
      </c>
      <c r="M13" s="459">
        <v>45863</v>
      </c>
      <c r="N13" s="460">
        <v>4373274</v>
      </c>
      <c r="O13" s="458">
        <v>7200</v>
      </c>
      <c r="P13" s="459">
        <v>45894</v>
      </c>
      <c r="Q13" s="460">
        <v>58193010</v>
      </c>
      <c r="R13" s="458"/>
      <c r="S13" s="459"/>
      <c r="T13" s="460"/>
      <c r="U13" s="138" t="s">
        <v>211</v>
      </c>
      <c r="V13" s="746">
        <v>0.23</v>
      </c>
      <c r="W13" s="747">
        <v>3299</v>
      </c>
      <c r="X13" s="748">
        <v>2540</v>
      </c>
    </row>
    <row r="14" spans="1:24" s="465" customFormat="1" ht="18" customHeight="1" x14ac:dyDescent="0.3">
      <c r="A14" s="197" t="s">
        <v>319</v>
      </c>
      <c r="B14" s="286" t="s">
        <v>125</v>
      </c>
      <c r="C14" s="138"/>
      <c r="D14" s="1317" t="s">
        <v>321</v>
      </c>
      <c r="E14" s="739" t="s">
        <v>195</v>
      </c>
      <c r="F14" s="770">
        <v>2040</v>
      </c>
      <c r="G14" s="461">
        <v>3170750108</v>
      </c>
      <c r="H14" s="459">
        <v>45872</v>
      </c>
      <c r="I14" s="458"/>
      <c r="J14" s="459"/>
      <c r="K14" s="460"/>
      <c r="L14" s="458">
        <v>2499</v>
      </c>
      <c r="M14" s="459">
        <v>45885</v>
      </c>
      <c r="N14" s="460">
        <v>4358531070</v>
      </c>
      <c r="O14" s="458">
        <v>7200</v>
      </c>
      <c r="P14" s="459">
        <v>45885</v>
      </c>
      <c r="Q14" s="460">
        <v>4358961369</v>
      </c>
      <c r="R14" s="458"/>
      <c r="S14" s="459"/>
      <c r="T14" s="460"/>
      <c r="U14" s="138"/>
      <c r="V14" s="754"/>
      <c r="W14" s="755"/>
      <c r="X14" s="748"/>
    </row>
    <row r="15" spans="1:24" s="465" customFormat="1" ht="18" customHeight="1" x14ac:dyDescent="0.3">
      <c r="A15" s="197" t="s">
        <v>325</v>
      </c>
      <c r="B15" s="286" t="s">
        <v>125</v>
      </c>
      <c r="C15" s="138"/>
      <c r="D15" s="1317" t="s">
        <v>324</v>
      </c>
      <c r="E15" s="739" t="s">
        <v>195</v>
      </c>
      <c r="F15" s="461" t="s">
        <v>66</v>
      </c>
      <c r="G15" s="461" t="s">
        <v>66</v>
      </c>
      <c r="H15" s="459">
        <v>45901</v>
      </c>
      <c r="I15" s="458"/>
      <c r="J15" s="459"/>
      <c r="K15" s="460"/>
      <c r="L15" s="458"/>
      <c r="M15" s="459"/>
      <c r="N15" s="460"/>
      <c r="O15" s="458">
        <v>7200</v>
      </c>
      <c r="P15" s="459">
        <v>45914</v>
      </c>
      <c r="Q15" s="460" t="s">
        <v>440</v>
      </c>
      <c r="R15" s="458"/>
      <c r="S15" s="459"/>
      <c r="T15" s="460"/>
      <c r="U15" s="138"/>
      <c r="V15" s="746"/>
      <c r="W15" s="755"/>
      <c r="X15" s="748"/>
    </row>
    <row r="16" spans="1:24" s="465" customFormat="1" ht="18" customHeight="1" x14ac:dyDescent="0.3">
      <c r="A16" s="197"/>
      <c r="B16" s="286" t="s">
        <v>125</v>
      </c>
      <c r="C16" s="138"/>
      <c r="D16" s="1317" t="s">
        <v>361</v>
      </c>
      <c r="E16" s="739" t="s">
        <v>195</v>
      </c>
      <c r="F16" s="461" t="s">
        <v>66</v>
      </c>
      <c r="G16" s="461" t="s">
        <v>66</v>
      </c>
      <c r="H16" s="459">
        <v>45903</v>
      </c>
      <c r="I16" s="458"/>
      <c r="J16" s="459"/>
      <c r="K16" s="460"/>
      <c r="L16" s="458">
        <v>1250</v>
      </c>
      <c r="M16" s="459">
        <v>45903</v>
      </c>
      <c r="N16" s="460">
        <v>309250</v>
      </c>
      <c r="O16" s="458"/>
      <c r="P16" s="459"/>
      <c r="Q16" s="460"/>
      <c r="R16" s="458"/>
      <c r="S16" s="459"/>
      <c r="T16" s="460"/>
      <c r="U16" s="138" t="s">
        <v>211</v>
      </c>
      <c r="V16" s="754">
        <v>0.23</v>
      </c>
      <c r="W16" s="755">
        <v>3299</v>
      </c>
      <c r="X16" s="748">
        <v>2540</v>
      </c>
    </row>
    <row r="17" spans="1:40" s="465" customFormat="1" ht="18" customHeight="1" x14ac:dyDescent="0.3">
      <c r="A17" s="197"/>
      <c r="B17" s="286" t="s">
        <v>125</v>
      </c>
      <c r="C17" s="138"/>
      <c r="D17" s="1317" t="s">
        <v>385</v>
      </c>
      <c r="E17" s="739" t="s">
        <v>195</v>
      </c>
      <c r="F17" s="461" t="s">
        <v>66</v>
      </c>
      <c r="G17" s="461" t="s">
        <v>66</v>
      </c>
      <c r="H17" s="459">
        <v>45894</v>
      </c>
      <c r="I17" s="458">
        <v>1345</v>
      </c>
      <c r="J17" s="459">
        <v>45894</v>
      </c>
      <c r="K17" s="460">
        <v>185330</v>
      </c>
      <c r="L17" s="458">
        <v>1249.5</v>
      </c>
      <c r="M17" s="459">
        <v>45894</v>
      </c>
      <c r="N17" s="460">
        <v>185330</v>
      </c>
      <c r="O17" s="458"/>
      <c r="P17" s="459"/>
      <c r="Q17" s="460"/>
      <c r="R17" s="458"/>
      <c r="S17" s="459"/>
      <c r="T17" s="460"/>
      <c r="U17" s="138" t="s">
        <v>258</v>
      </c>
      <c r="V17" s="754">
        <v>0.23</v>
      </c>
      <c r="W17" s="755">
        <v>3958.8</v>
      </c>
      <c r="X17" s="748">
        <v>3246</v>
      </c>
    </row>
    <row r="18" spans="1:40" s="484" customFormat="1" ht="18" customHeight="1" x14ac:dyDescent="0.3">
      <c r="A18" s="187"/>
      <c r="B18" s="286" t="s">
        <v>125</v>
      </c>
      <c r="C18" s="222"/>
      <c r="D18" s="1317" t="s">
        <v>755</v>
      </c>
      <c r="E18" s="739" t="s">
        <v>195</v>
      </c>
      <c r="F18" s="479" t="s">
        <v>66</v>
      </c>
      <c r="G18" s="479" t="s">
        <v>66</v>
      </c>
      <c r="H18" s="481">
        <v>45898</v>
      </c>
      <c r="I18" s="478">
        <v>1345</v>
      </c>
      <c r="J18" s="1088">
        <v>45897</v>
      </c>
      <c r="K18" s="480">
        <v>27698147</v>
      </c>
      <c r="L18" s="478">
        <v>1249.5</v>
      </c>
      <c r="M18" s="481">
        <v>45897</v>
      </c>
      <c r="N18" s="480">
        <v>27698147</v>
      </c>
      <c r="O18" s="478">
        <v>7200</v>
      </c>
      <c r="P18" s="481">
        <v>45914</v>
      </c>
      <c r="Q18" s="480" t="s">
        <v>440</v>
      </c>
      <c r="R18" s="478"/>
      <c r="S18" s="479"/>
      <c r="T18" s="480"/>
      <c r="U18" s="380"/>
      <c r="V18" s="380"/>
      <c r="W18" s="761"/>
      <c r="X18" s="762"/>
    </row>
    <row r="19" spans="1:40" s="465" customFormat="1" ht="18" customHeight="1" x14ac:dyDescent="0.3">
      <c r="A19" s="197"/>
      <c r="B19" s="286" t="s">
        <v>125</v>
      </c>
      <c r="C19" s="138"/>
      <c r="D19" s="1317" t="s">
        <v>428</v>
      </c>
      <c r="E19" s="739" t="s">
        <v>195</v>
      </c>
      <c r="F19" s="461" t="s">
        <v>66</v>
      </c>
      <c r="G19" s="461" t="s">
        <v>66</v>
      </c>
      <c r="H19" s="459">
        <v>45911</v>
      </c>
      <c r="I19" s="458"/>
      <c r="J19" s="459"/>
      <c r="K19" s="460"/>
      <c r="L19" s="458"/>
      <c r="M19" s="459"/>
      <c r="N19" s="460"/>
      <c r="O19" s="458">
        <v>7200</v>
      </c>
      <c r="P19" s="459">
        <v>45922</v>
      </c>
      <c r="Q19" s="460" t="s">
        <v>440</v>
      </c>
      <c r="R19" s="458"/>
      <c r="S19" s="459"/>
      <c r="T19" s="460"/>
      <c r="U19" s="138"/>
      <c r="V19" s="754"/>
      <c r="W19" s="755"/>
      <c r="X19" s="748"/>
    </row>
    <row r="20" spans="1:40" s="465" customFormat="1" ht="18" customHeight="1" x14ac:dyDescent="0.3">
      <c r="A20" s="197" t="s">
        <v>430</v>
      </c>
      <c r="B20" s="286" t="s">
        <v>125</v>
      </c>
      <c r="C20" s="138"/>
      <c r="D20" s="1317" t="s">
        <v>429</v>
      </c>
      <c r="E20" s="739" t="s">
        <v>195</v>
      </c>
      <c r="F20" s="461" t="s">
        <v>66</v>
      </c>
      <c r="G20" s="461" t="s">
        <v>66</v>
      </c>
      <c r="H20" s="459">
        <v>45911</v>
      </c>
      <c r="I20" s="458">
        <v>1345</v>
      </c>
      <c r="J20" s="459">
        <v>45911</v>
      </c>
      <c r="K20" s="460">
        <v>1109250</v>
      </c>
      <c r="L20" s="458">
        <v>1249.5</v>
      </c>
      <c r="M20" s="459">
        <v>45911</v>
      </c>
      <c r="N20" s="460">
        <v>1109250</v>
      </c>
      <c r="O20" s="458"/>
      <c r="P20" s="459"/>
      <c r="Q20" s="460"/>
      <c r="R20" s="458"/>
      <c r="S20" s="485"/>
      <c r="T20" s="486"/>
      <c r="U20" s="138"/>
      <c r="V20" s="754"/>
      <c r="W20" s="755"/>
      <c r="X20" s="748"/>
    </row>
    <row r="21" spans="1:40" s="465" customFormat="1" ht="18" customHeight="1" x14ac:dyDescent="0.3">
      <c r="A21" s="197"/>
      <c r="B21" s="286"/>
      <c r="C21" s="138"/>
      <c r="D21" s="453"/>
      <c r="E21" s="739"/>
      <c r="F21" s="461"/>
      <c r="G21" s="461"/>
      <c r="H21" s="459"/>
      <c r="I21" s="458"/>
      <c r="J21" s="459"/>
      <c r="K21" s="460"/>
      <c r="L21" s="458"/>
      <c r="M21" s="459"/>
      <c r="N21" s="460"/>
      <c r="O21" s="458"/>
      <c r="P21" s="459"/>
      <c r="Q21" s="460"/>
      <c r="R21" s="458"/>
      <c r="S21" s="461"/>
      <c r="T21" s="460"/>
      <c r="U21" s="138"/>
      <c r="V21" s="754"/>
      <c r="W21" s="755"/>
      <c r="X21" s="748"/>
    </row>
    <row r="22" spans="1:40" s="465" customFormat="1" ht="18" customHeight="1" x14ac:dyDescent="0.3">
      <c r="A22" s="197"/>
      <c r="B22" s="286"/>
      <c r="C22" s="138"/>
      <c r="D22" s="453"/>
      <c r="E22" s="739"/>
      <c r="F22" s="461"/>
      <c r="G22" s="461"/>
      <c r="H22" s="459"/>
      <c r="I22" s="458"/>
      <c r="J22" s="459"/>
      <c r="K22" s="460"/>
      <c r="L22" s="458"/>
      <c r="M22" s="459"/>
      <c r="N22" s="460"/>
      <c r="O22" s="458"/>
      <c r="P22" s="459"/>
      <c r="Q22" s="460"/>
      <c r="R22" s="458"/>
      <c r="S22" s="461"/>
      <c r="T22" s="460"/>
      <c r="U22" s="138"/>
      <c r="V22" s="746"/>
      <c r="W22" s="755"/>
      <c r="X22" s="748"/>
    </row>
    <row r="23" spans="1:40" s="465" customFormat="1" ht="18" customHeight="1" x14ac:dyDescent="0.3">
      <c r="A23" s="197"/>
      <c r="B23" s="286"/>
      <c r="C23" s="138"/>
      <c r="D23" s="453"/>
      <c r="E23" s="739"/>
      <c r="F23" s="461"/>
      <c r="G23" s="461"/>
      <c r="H23" s="459"/>
      <c r="I23" s="458"/>
      <c r="J23" s="459"/>
      <c r="K23" s="460"/>
      <c r="L23" s="458"/>
      <c r="M23" s="459"/>
      <c r="N23" s="460"/>
      <c r="O23" s="458"/>
      <c r="P23" s="459"/>
      <c r="Q23" s="460"/>
      <c r="R23" s="458"/>
      <c r="S23" s="459"/>
      <c r="T23" s="460"/>
      <c r="U23" s="138"/>
      <c r="V23" s="746"/>
      <c r="W23" s="755"/>
      <c r="X23" s="748"/>
    </row>
    <row r="24" spans="1:40" ht="18" customHeight="1" thickBot="1" x14ac:dyDescent="0.3">
      <c r="A24" s="846"/>
      <c r="B24" s="297"/>
      <c r="C24" s="61"/>
      <c r="D24" s="1030"/>
      <c r="E24" s="1089"/>
      <c r="F24" s="1032"/>
      <c r="G24" s="1032"/>
      <c r="H24" s="841"/>
      <c r="I24" s="1034"/>
      <c r="J24" s="841"/>
      <c r="K24" s="1033"/>
      <c r="L24" s="1034"/>
      <c r="M24" s="841"/>
      <c r="N24" s="1033"/>
      <c r="O24" s="1034"/>
      <c r="P24" s="841"/>
      <c r="Q24" s="1033"/>
      <c r="R24" s="1034"/>
      <c r="S24" s="841"/>
      <c r="T24" s="1033"/>
      <c r="U24" s="61"/>
      <c r="V24" s="1090"/>
      <c r="W24" s="1091"/>
      <c r="X24" s="1092"/>
    </row>
    <row r="28" spans="1:40" ht="18" customHeight="1" thickBot="1" x14ac:dyDescent="0.3"/>
    <row r="29" spans="1:40" ht="18" customHeight="1" thickBot="1" x14ac:dyDescent="0.3">
      <c r="B29" s="1395" t="s">
        <v>24</v>
      </c>
      <c r="C29" s="1396"/>
      <c r="D29" s="1396"/>
      <c r="E29" s="1396"/>
      <c r="F29" s="1396"/>
      <c r="G29" s="1396"/>
      <c r="H29" s="1396"/>
      <c r="I29" s="1396"/>
      <c r="J29" s="1396"/>
      <c r="K29" s="1396"/>
      <c r="L29" s="1396"/>
      <c r="M29" s="1396"/>
      <c r="N29" s="1396"/>
      <c r="O29" s="1396"/>
      <c r="P29" s="1396"/>
      <c r="Q29" s="1396"/>
      <c r="R29" s="1396"/>
      <c r="S29" s="1396"/>
      <c r="T29" s="1396"/>
      <c r="U29" s="1396"/>
      <c r="V29" s="1396"/>
      <c r="W29" s="1396"/>
      <c r="X29" s="1396"/>
      <c r="Y29" s="1396"/>
      <c r="Z29" s="1396"/>
      <c r="AA29" s="1396"/>
      <c r="AB29" s="1396"/>
      <c r="AC29" s="1396"/>
      <c r="AD29" s="1396"/>
      <c r="AE29" s="1396"/>
      <c r="AF29" s="1396"/>
      <c r="AG29" s="1396"/>
      <c r="AH29" s="1396"/>
      <c r="AI29" s="1396"/>
      <c r="AJ29" s="1396"/>
      <c r="AK29" s="1396"/>
      <c r="AL29" s="1396"/>
      <c r="AM29" s="1396"/>
      <c r="AN29" s="1397"/>
    </row>
    <row r="30" spans="1:40" ht="18" customHeight="1" thickBot="1" x14ac:dyDescent="0.3">
      <c r="B30" s="496" t="s">
        <v>9</v>
      </c>
      <c r="C30" s="497" t="s">
        <v>10</v>
      </c>
      <c r="D30" s="1093" t="s">
        <v>11</v>
      </c>
      <c r="E30" s="1398" t="s">
        <v>25</v>
      </c>
      <c r="F30" s="1399"/>
      <c r="G30" s="1400"/>
      <c r="H30" s="1401" t="s">
        <v>26</v>
      </c>
      <c r="I30" s="1401"/>
      <c r="J30" s="1401"/>
      <c r="K30" s="1398" t="s">
        <v>27</v>
      </c>
      <c r="L30" s="1399"/>
      <c r="M30" s="1400"/>
      <c r="N30" s="1401" t="s">
        <v>28</v>
      </c>
      <c r="O30" s="1401"/>
      <c r="P30" s="1401"/>
      <c r="Q30" s="1398" t="s">
        <v>29</v>
      </c>
      <c r="R30" s="1399"/>
      <c r="S30" s="1400"/>
      <c r="T30" s="1401" t="s">
        <v>30</v>
      </c>
      <c r="U30" s="1401"/>
      <c r="V30" s="1401"/>
      <c r="W30" s="1398" t="s">
        <v>36</v>
      </c>
      <c r="X30" s="1399"/>
      <c r="Y30" s="1400"/>
      <c r="Z30" s="1401" t="s">
        <v>31</v>
      </c>
      <c r="AA30" s="1401"/>
      <c r="AB30" s="1401"/>
      <c r="AC30" s="1398" t="s">
        <v>32</v>
      </c>
      <c r="AD30" s="1399"/>
      <c r="AE30" s="1400"/>
      <c r="AF30" s="1401" t="s">
        <v>33</v>
      </c>
      <c r="AG30" s="1401"/>
      <c r="AH30" s="1401"/>
      <c r="AI30" s="1398" t="s">
        <v>34</v>
      </c>
      <c r="AJ30" s="1399"/>
      <c r="AK30" s="1400"/>
      <c r="AL30" s="1401" t="s">
        <v>35</v>
      </c>
      <c r="AM30" s="1401"/>
      <c r="AN30" s="1402"/>
    </row>
    <row r="31" spans="1:40" ht="18" customHeight="1" thickBot="1" x14ac:dyDescent="0.3">
      <c r="B31" s="498"/>
      <c r="C31" s="452"/>
      <c r="D31" s="452"/>
      <c r="E31" s="499" t="s">
        <v>37</v>
      </c>
      <c r="F31" s="500" t="s">
        <v>15</v>
      </c>
      <c r="G31" s="501" t="s">
        <v>14</v>
      </c>
      <c r="H31" s="500" t="s">
        <v>37</v>
      </c>
      <c r="I31" s="500" t="s">
        <v>15</v>
      </c>
      <c r="J31" s="500" t="s">
        <v>14</v>
      </c>
      <c r="K31" s="499" t="s">
        <v>37</v>
      </c>
      <c r="L31" s="500" t="s">
        <v>15</v>
      </c>
      <c r="M31" s="501" t="s">
        <v>14</v>
      </c>
      <c r="N31" s="500" t="s">
        <v>37</v>
      </c>
      <c r="O31" s="500" t="s">
        <v>15</v>
      </c>
      <c r="P31" s="500" t="s">
        <v>14</v>
      </c>
      <c r="Q31" s="499" t="s">
        <v>37</v>
      </c>
      <c r="R31" s="500" t="s">
        <v>15</v>
      </c>
      <c r="S31" s="501" t="s">
        <v>14</v>
      </c>
      <c r="T31" s="500" t="s">
        <v>37</v>
      </c>
      <c r="U31" s="500" t="s">
        <v>15</v>
      </c>
      <c r="V31" s="500" t="s">
        <v>14</v>
      </c>
      <c r="W31" s="499" t="s">
        <v>37</v>
      </c>
      <c r="X31" s="500" t="s">
        <v>15</v>
      </c>
      <c r="Y31" s="501" t="s">
        <v>14</v>
      </c>
      <c r="Z31" s="500" t="s">
        <v>37</v>
      </c>
      <c r="AA31" s="500" t="s">
        <v>15</v>
      </c>
      <c r="AB31" s="500" t="s">
        <v>14</v>
      </c>
      <c r="AC31" s="499" t="s">
        <v>37</v>
      </c>
      <c r="AD31" s="500" t="s">
        <v>15</v>
      </c>
      <c r="AE31" s="501" t="s">
        <v>14</v>
      </c>
      <c r="AF31" s="500" t="s">
        <v>37</v>
      </c>
      <c r="AG31" s="500" t="s">
        <v>15</v>
      </c>
      <c r="AH31" s="500" t="s">
        <v>14</v>
      </c>
      <c r="AI31" s="499" t="s">
        <v>37</v>
      </c>
      <c r="AJ31" s="500" t="s">
        <v>15</v>
      </c>
      <c r="AK31" s="501" t="s">
        <v>14</v>
      </c>
      <c r="AL31" s="500" t="s">
        <v>37</v>
      </c>
      <c r="AM31" s="500" t="s">
        <v>15</v>
      </c>
      <c r="AN31" s="501" t="s">
        <v>14</v>
      </c>
    </row>
    <row r="32" spans="1:40" s="465" customFormat="1" ht="18" customHeight="1" x14ac:dyDescent="0.3">
      <c r="A32" s="197"/>
      <c r="B32" s="285"/>
      <c r="C32" s="132"/>
      <c r="D32" s="1314" t="str">
        <f>D8</f>
        <v>ALEJANDRO DOMINGUEZ LAUREANO</v>
      </c>
      <c r="E32" s="502"/>
      <c r="F32" s="503"/>
      <c r="G32" s="504"/>
      <c r="H32" s="505">
        <v>1200</v>
      </c>
      <c r="I32" s="506">
        <v>45905</v>
      </c>
      <c r="J32" s="507" t="s">
        <v>72</v>
      </c>
      <c r="K32" s="505">
        <v>1200</v>
      </c>
      <c r="L32" s="506">
        <v>45936</v>
      </c>
      <c r="M32" s="507" t="s">
        <v>72</v>
      </c>
      <c r="N32" s="505">
        <v>1200</v>
      </c>
      <c r="O32" s="506">
        <v>45967</v>
      </c>
      <c r="P32" s="507" t="s">
        <v>72</v>
      </c>
      <c r="Q32" s="505">
        <v>1200</v>
      </c>
      <c r="R32" s="506">
        <v>45996</v>
      </c>
      <c r="S32" s="507" t="s">
        <v>72</v>
      </c>
      <c r="T32" s="505">
        <v>1200</v>
      </c>
      <c r="U32" s="506">
        <v>45992</v>
      </c>
      <c r="V32" s="507">
        <v>277410</v>
      </c>
      <c r="W32" s="508"/>
      <c r="X32" s="503"/>
      <c r="Y32" s="504"/>
      <c r="Z32" s="505">
        <v>1200</v>
      </c>
      <c r="AA32" s="509">
        <v>46055</v>
      </c>
      <c r="AB32" s="510">
        <v>277410</v>
      </c>
      <c r="AC32" s="505">
        <v>1200</v>
      </c>
      <c r="AD32" s="509">
        <v>46086</v>
      </c>
      <c r="AE32" s="510">
        <v>277410</v>
      </c>
      <c r="AF32" s="505">
        <v>1200</v>
      </c>
      <c r="AG32" s="509">
        <v>46107</v>
      </c>
      <c r="AH32" s="510">
        <v>277410</v>
      </c>
      <c r="AI32" s="505">
        <v>1200</v>
      </c>
      <c r="AJ32" s="509">
        <v>46148</v>
      </c>
      <c r="AK32" s="507">
        <v>277410</v>
      </c>
      <c r="AL32" s="505">
        <v>1200</v>
      </c>
      <c r="AM32" s="509">
        <v>46155</v>
      </c>
      <c r="AN32" s="507">
        <v>277410</v>
      </c>
    </row>
    <row r="33" spans="1:41" s="465" customFormat="1" ht="22.8" customHeight="1" x14ac:dyDescent="0.3">
      <c r="A33" s="197"/>
      <c r="B33" s="286"/>
      <c r="C33" s="138"/>
      <c r="D33" s="1314" t="str">
        <f t="shared" ref="D33:D44" si="0">D9</f>
        <v>ARYED ALEJANDRA MONTESINOS GARCIA</v>
      </c>
      <c r="E33" s="511"/>
      <c r="F33" s="512"/>
      <c r="G33" s="513"/>
      <c r="H33" s="514">
        <v>2640</v>
      </c>
      <c r="I33" s="459">
        <v>45901</v>
      </c>
      <c r="J33" s="515">
        <v>10925</v>
      </c>
      <c r="K33" s="514">
        <v>2640</v>
      </c>
      <c r="L33" s="459">
        <v>45933</v>
      </c>
      <c r="M33" s="515">
        <v>127941871861</v>
      </c>
      <c r="N33" s="514">
        <v>2640</v>
      </c>
      <c r="O33" s="459">
        <v>45966</v>
      </c>
      <c r="P33" s="515">
        <v>501181180</v>
      </c>
      <c r="Q33" s="514">
        <v>2640</v>
      </c>
      <c r="R33" s="459">
        <v>45994</v>
      </c>
      <c r="S33" s="515">
        <v>50118180</v>
      </c>
      <c r="T33" s="514">
        <v>2640</v>
      </c>
      <c r="U33" s="459">
        <v>46026</v>
      </c>
      <c r="V33" s="515">
        <v>7366787</v>
      </c>
      <c r="W33" s="514">
        <v>2640</v>
      </c>
      <c r="X33" s="459">
        <v>46026</v>
      </c>
      <c r="Y33" s="515">
        <v>7366787</v>
      </c>
      <c r="Z33" s="514">
        <v>2640</v>
      </c>
      <c r="AA33" s="459">
        <v>46083</v>
      </c>
      <c r="AB33" s="517">
        <v>203260</v>
      </c>
      <c r="AC33" s="514">
        <v>2640</v>
      </c>
      <c r="AD33" s="459">
        <v>46085</v>
      </c>
      <c r="AE33" s="517">
        <v>54897621</v>
      </c>
      <c r="AF33" s="514">
        <v>2640</v>
      </c>
      <c r="AG33" s="459">
        <v>46115</v>
      </c>
      <c r="AH33" s="517">
        <v>304260</v>
      </c>
      <c r="AI33" s="514">
        <v>2640</v>
      </c>
      <c r="AJ33" s="459">
        <v>46146</v>
      </c>
      <c r="AK33" s="515">
        <v>60294474</v>
      </c>
      <c r="AL33" s="514">
        <v>2640</v>
      </c>
      <c r="AM33" s="459">
        <v>46174</v>
      </c>
      <c r="AN33" s="515">
        <v>2688668</v>
      </c>
      <c r="AO33" s="465" t="s">
        <v>822</v>
      </c>
    </row>
    <row r="34" spans="1:41" s="465" customFormat="1" ht="25.2" customHeight="1" x14ac:dyDescent="0.3">
      <c r="A34" s="197"/>
      <c r="B34" s="286"/>
      <c r="C34" s="138"/>
      <c r="D34" s="1315" t="str">
        <f t="shared" si="0"/>
        <v>DAMARA GENOVEVA PRIMO MORALES</v>
      </c>
      <c r="E34" s="518"/>
      <c r="F34" s="459"/>
      <c r="G34" s="515"/>
      <c r="H34" s="514">
        <v>3247</v>
      </c>
      <c r="I34" s="459">
        <v>45905</v>
      </c>
      <c r="J34" s="515">
        <v>509250</v>
      </c>
      <c r="K34" s="514">
        <v>3247</v>
      </c>
      <c r="L34" s="459">
        <v>45936</v>
      </c>
      <c r="M34" s="515">
        <v>610251</v>
      </c>
      <c r="N34" s="514">
        <v>3247</v>
      </c>
      <c r="O34" s="459">
        <v>45967</v>
      </c>
      <c r="P34" s="515">
        <v>611250</v>
      </c>
      <c r="Q34" s="514">
        <v>3247</v>
      </c>
      <c r="R34" s="459">
        <v>46022</v>
      </c>
      <c r="S34" s="515">
        <v>3112251</v>
      </c>
      <c r="T34" s="514">
        <v>3247</v>
      </c>
      <c r="U34" s="459">
        <v>46044</v>
      </c>
      <c r="V34" s="515">
        <v>221260</v>
      </c>
      <c r="W34" s="514"/>
      <c r="X34" s="459"/>
      <c r="Y34" s="515"/>
      <c r="Z34" s="514">
        <v>3247</v>
      </c>
      <c r="AA34" s="459">
        <v>46065</v>
      </c>
      <c r="AB34" s="517">
        <v>1202262</v>
      </c>
      <c r="AC34" s="514">
        <v>3247</v>
      </c>
      <c r="AD34" s="459">
        <v>46123</v>
      </c>
      <c r="AE34" s="517">
        <v>1104260</v>
      </c>
      <c r="AF34" s="514">
        <v>3247</v>
      </c>
      <c r="AG34" s="459">
        <v>46175</v>
      </c>
      <c r="AH34" s="517">
        <v>753426</v>
      </c>
      <c r="AI34" s="514">
        <v>3247</v>
      </c>
      <c r="AJ34" s="459">
        <v>46175</v>
      </c>
      <c r="AK34" s="515">
        <v>753426</v>
      </c>
      <c r="AL34" s="514"/>
      <c r="AM34" s="459"/>
      <c r="AN34" s="515"/>
    </row>
    <row r="35" spans="1:41" s="465" customFormat="1" ht="18" customHeight="1" x14ac:dyDescent="0.3">
      <c r="A35" s="197"/>
      <c r="B35" s="286"/>
      <c r="C35" s="138"/>
      <c r="D35" s="1314" t="str">
        <f t="shared" si="0"/>
        <v>SAMUEL VALLEROJO SANCHEZ</v>
      </c>
      <c r="E35" s="511"/>
      <c r="F35" s="512"/>
      <c r="G35" s="513"/>
      <c r="H35" s="514">
        <v>2350</v>
      </c>
      <c r="I35" s="459">
        <v>45905</v>
      </c>
      <c r="J35" s="515">
        <v>8.59059597903248E+16</v>
      </c>
      <c r="K35" s="514">
        <v>2350</v>
      </c>
      <c r="L35" s="459">
        <v>45935</v>
      </c>
      <c r="M35" s="515">
        <v>8.5904046670327808E+16</v>
      </c>
      <c r="N35" s="514">
        <v>2350</v>
      </c>
      <c r="O35" s="459">
        <v>45967</v>
      </c>
      <c r="P35" s="515">
        <v>8.59004123403308E+16</v>
      </c>
      <c r="Q35" s="514">
        <v>2350</v>
      </c>
      <c r="R35" s="459">
        <v>45995</v>
      </c>
      <c r="S35" s="515">
        <v>8.5901203130333792E+16</v>
      </c>
      <c r="T35" s="514">
        <v>2350</v>
      </c>
      <c r="U35" s="459">
        <v>46026</v>
      </c>
      <c r="V35" s="515">
        <v>8.5900765420300704E+16</v>
      </c>
      <c r="W35" s="514">
        <v>2350</v>
      </c>
      <c r="X35" s="459">
        <v>45995</v>
      </c>
      <c r="Y35" s="515">
        <v>8.5901203130333792E+16</v>
      </c>
      <c r="Z35" s="514">
        <v>2350</v>
      </c>
      <c r="AA35" s="459">
        <v>46065</v>
      </c>
      <c r="AB35" s="517">
        <v>232571686440694</v>
      </c>
      <c r="AC35" s="514">
        <v>2350</v>
      </c>
      <c r="AD35" s="459">
        <v>46085</v>
      </c>
      <c r="AE35" s="517">
        <v>21564987</v>
      </c>
      <c r="AF35" s="514">
        <v>2350</v>
      </c>
      <c r="AG35" s="459">
        <v>46116</v>
      </c>
      <c r="AH35" s="517">
        <v>8.5907478130309408E+16</v>
      </c>
      <c r="AI35" s="514">
        <v>2350</v>
      </c>
      <c r="AJ35" s="459">
        <v>46146</v>
      </c>
      <c r="AK35" s="515">
        <v>390312469</v>
      </c>
      <c r="AL35" s="514">
        <v>2350</v>
      </c>
      <c r="AM35" s="459">
        <v>46178</v>
      </c>
      <c r="AN35" s="515">
        <v>60315660</v>
      </c>
    </row>
    <row r="36" spans="1:41" s="465" customFormat="1" ht="18" customHeight="1" x14ac:dyDescent="0.3">
      <c r="A36" s="197"/>
      <c r="B36" s="286" t="s">
        <v>696</v>
      </c>
      <c r="C36" s="138"/>
      <c r="D36" s="1314" t="str">
        <f t="shared" si="0"/>
        <v>CARLOS MIGUEL MATEO ORTEGA</v>
      </c>
      <c r="E36" s="511"/>
      <c r="F36" s="512"/>
      <c r="G36" s="513"/>
      <c r="H36" s="514">
        <v>3246</v>
      </c>
      <c r="I36" s="459">
        <v>45847</v>
      </c>
      <c r="J36" s="515" t="s">
        <v>235</v>
      </c>
      <c r="K36" s="514">
        <v>3246</v>
      </c>
      <c r="L36" s="459">
        <v>45940</v>
      </c>
      <c r="M36" s="515" t="s">
        <v>235</v>
      </c>
      <c r="N36" s="514">
        <v>3246</v>
      </c>
      <c r="O36" s="459">
        <v>45964</v>
      </c>
      <c r="P36" s="515">
        <v>5487963521</v>
      </c>
      <c r="Q36" s="514">
        <v>3246</v>
      </c>
      <c r="R36" s="459">
        <v>45996</v>
      </c>
      <c r="S36" s="515">
        <v>8.5904026914333904E+16</v>
      </c>
      <c r="T36" s="514">
        <v>3246</v>
      </c>
      <c r="U36" s="459">
        <v>46037</v>
      </c>
      <c r="V36" s="515">
        <v>8.5900449294301504E+16</v>
      </c>
      <c r="W36" s="516"/>
      <c r="X36" s="512"/>
      <c r="Y36" s="513"/>
      <c r="Z36" s="514">
        <v>3246</v>
      </c>
      <c r="AA36" s="459">
        <v>46060</v>
      </c>
      <c r="AB36" s="517">
        <v>8590438254303860</v>
      </c>
      <c r="AC36" s="514">
        <v>3246</v>
      </c>
      <c r="AD36" s="459">
        <v>46086</v>
      </c>
      <c r="AE36" s="517">
        <v>784569</v>
      </c>
      <c r="AF36" s="514">
        <v>3246</v>
      </c>
      <c r="AG36" s="459">
        <v>46114</v>
      </c>
      <c r="AH36" s="517">
        <v>8.59017207643092E+16</v>
      </c>
      <c r="AI36" s="514">
        <v>3246</v>
      </c>
      <c r="AJ36" s="459">
        <v>46143</v>
      </c>
      <c r="AK36" s="515">
        <v>179060</v>
      </c>
      <c r="AL36" s="514">
        <v>3246</v>
      </c>
      <c r="AM36" s="459">
        <v>46171</v>
      </c>
      <c r="AN36" s="515">
        <v>314962</v>
      </c>
      <c r="AO36" s="465" t="s">
        <v>822</v>
      </c>
    </row>
    <row r="37" spans="1:41" s="465" customFormat="1" ht="18" customHeight="1" x14ac:dyDescent="0.3">
      <c r="A37" s="197"/>
      <c r="B37" s="286"/>
      <c r="C37" s="138"/>
      <c r="D37" s="1314" t="str">
        <f t="shared" si="0"/>
        <v>LUIS ALEJANDRO RODRIGUEZ BOFFIL</v>
      </c>
      <c r="E37" s="516"/>
      <c r="F37" s="512"/>
      <c r="G37" s="718"/>
      <c r="H37" s="514">
        <v>2540</v>
      </c>
      <c r="I37" s="459">
        <v>45905</v>
      </c>
      <c r="J37" s="515">
        <v>95032967</v>
      </c>
      <c r="K37" s="514">
        <v>2540</v>
      </c>
      <c r="L37" s="459">
        <v>45935</v>
      </c>
      <c r="M37" s="515">
        <v>43919755</v>
      </c>
      <c r="N37" s="514">
        <v>2540</v>
      </c>
      <c r="O37" s="459">
        <v>45964</v>
      </c>
      <c r="P37" s="515">
        <v>1197346</v>
      </c>
      <c r="Q37" s="514">
        <v>2540</v>
      </c>
      <c r="R37" s="459">
        <v>45996</v>
      </c>
      <c r="S37" s="517">
        <v>94338967</v>
      </c>
      <c r="T37" s="514">
        <v>2540</v>
      </c>
      <c r="U37" s="459">
        <v>46027</v>
      </c>
      <c r="V37" s="517">
        <v>89823987</v>
      </c>
      <c r="W37" s="516"/>
      <c r="X37" s="512"/>
      <c r="Y37" s="513"/>
      <c r="Z37" s="514">
        <v>2540</v>
      </c>
      <c r="AA37" s="459">
        <v>46058</v>
      </c>
      <c r="AB37" s="517">
        <v>3638040406</v>
      </c>
      <c r="AC37" s="514">
        <v>2540</v>
      </c>
      <c r="AD37" s="459">
        <v>46086</v>
      </c>
      <c r="AE37" s="517">
        <v>4521879863</v>
      </c>
      <c r="AF37" s="514">
        <v>2540</v>
      </c>
      <c r="AG37" s="459">
        <v>46117</v>
      </c>
      <c r="AH37" s="517">
        <v>1747899</v>
      </c>
      <c r="AI37" s="514">
        <v>2540</v>
      </c>
      <c r="AJ37" s="459">
        <v>46147</v>
      </c>
      <c r="AK37" s="515">
        <v>22663069</v>
      </c>
      <c r="AL37" s="514">
        <v>2540</v>
      </c>
      <c r="AM37" s="459">
        <v>46178</v>
      </c>
      <c r="AN37" s="515">
        <v>51147971</v>
      </c>
      <c r="AO37" s="465" t="s">
        <v>822</v>
      </c>
    </row>
    <row r="38" spans="1:41" s="1104" customFormat="1" ht="18" customHeight="1" x14ac:dyDescent="0.3">
      <c r="A38" s="420"/>
      <c r="B38" s="419"/>
      <c r="C38" s="420"/>
      <c r="D38" s="1314" t="str">
        <f t="shared" si="0"/>
        <v>IKER SANTIAGO SAAVEDRA GRAJEDA</v>
      </c>
      <c r="E38" s="1094"/>
      <c r="F38" s="1095"/>
      <c r="G38" s="1096"/>
      <c r="H38" s="1097">
        <v>2770</v>
      </c>
      <c r="I38" s="753">
        <v>45908</v>
      </c>
      <c r="J38" s="1098">
        <v>7326614361</v>
      </c>
      <c r="K38" s="1097">
        <v>2770</v>
      </c>
      <c r="L38" s="753">
        <v>45936</v>
      </c>
      <c r="M38" s="1098">
        <v>30753647</v>
      </c>
      <c r="N38" s="1097">
        <v>2770</v>
      </c>
      <c r="O38" s="753">
        <v>2770</v>
      </c>
      <c r="P38" s="1098">
        <v>87979245</v>
      </c>
      <c r="Q38" s="1097">
        <v>2770</v>
      </c>
      <c r="R38" s="753">
        <v>45996</v>
      </c>
      <c r="S38" s="1098">
        <v>3834974946</v>
      </c>
      <c r="T38" s="1097">
        <v>2770</v>
      </c>
      <c r="U38" s="753">
        <v>46027</v>
      </c>
      <c r="V38" s="1098">
        <v>6518917920</v>
      </c>
      <c r="W38" s="1094"/>
      <c r="X38" s="1095"/>
      <c r="Y38" s="1099"/>
      <c r="Z38" s="1097">
        <v>2770</v>
      </c>
      <c r="AA38" s="753">
        <v>46063</v>
      </c>
      <c r="AB38" s="1100">
        <v>30753647</v>
      </c>
      <c r="AC38" s="1097">
        <v>2770</v>
      </c>
      <c r="AD38" s="753">
        <v>46088</v>
      </c>
      <c r="AE38" s="1101">
        <v>71166682</v>
      </c>
      <c r="AF38" s="1097">
        <v>2770</v>
      </c>
      <c r="AG38" s="753">
        <v>46156</v>
      </c>
      <c r="AH38" s="1102">
        <v>27485894</v>
      </c>
      <c r="AI38" s="1103">
        <v>2770</v>
      </c>
      <c r="AJ38" s="753">
        <v>46147</v>
      </c>
      <c r="AK38" s="1100">
        <v>94974910</v>
      </c>
      <c r="AL38" s="1097">
        <v>2770</v>
      </c>
      <c r="AM38" s="753">
        <v>46176</v>
      </c>
      <c r="AN38" s="1098">
        <v>31302167</v>
      </c>
      <c r="AO38" s="1104" t="s">
        <v>822</v>
      </c>
    </row>
    <row r="39" spans="1:41" s="465" customFormat="1" ht="18" customHeight="1" x14ac:dyDescent="0.3">
      <c r="A39" s="197"/>
      <c r="B39" s="286"/>
      <c r="C39" s="138"/>
      <c r="D39" s="1314" t="str">
        <f t="shared" si="0"/>
        <v>ADRIEL MORALES DOMINGUEZ</v>
      </c>
      <c r="E39" s="514">
        <v>2540</v>
      </c>
      <c r="F39" s="459">
        <v>45877</v>
      </c>
      <c r="G39" s="515" t="s">
        <v>326</v>
      </c>
      <c r="H39" s="514">
        <v>2540</v>
      </c>
      <c r="I39" s="459">
        <v>45909</v>
      </c>
      <c r="J39" s="515">
        <v>7801886</v>
      </c>
      <c r="K39" s="514">
        <v>1820</v>
      </c>
      <c r="L39" s="459">
        <v>45935</v>
      </c>
      <c r="M39" s="515">
        <v>6288443</v>
      </c>
      <c r="N39" s="514">
        <v>1820</v>
      </c>
      <c r="O39" s="459">
        <v>45935</v>
      </c>
      <c r="P39" s="515">
        <v>8151048</v>
      </c>
      <c r="Q39" s="514">
        <v>1820</v>
      </c>
      <c r="R39" s="459">
        <v>45935</v>
      </c>
      <c r="S39" s="515">
        <v>69512345</v>
      </c>
      <c r="T39" s="514">
        <v>1820</v>
      </c>
      <c r="U39" s="459">
        <v>46026</v>
      </c>
      <c r="V39" s="515">
        <v>7745561</v>
      </c>
      <c r="W39" s="516"/>
      <c r="X39" s="512"/>
      <c r="Y39" s="513"/>
      <c r="Z39" s="514">
        <v>1820</v>
      </c>
      <c r="AA39" s="459">
        <v>46062</v>
      </c>
      <c r="AB39" s="517">
        <v>6718806</v>
      </c>
      <c r="AC39" s="514">
        <v>1820</v>
      </c>
      <c r="AD39" s="459">
        <v>46087</v>
      </c>
      <c r="AE39" s="517">
        <v>240003</v>
      </c>
      <c r="AF39" s="514">
        <v>1820</v>
      </c>
      <c r="AG39" s="459">
        <v>46114</v>
      </c>
      <c r="AH39" s="517">
        <v>7438562</v>
      </c>
      <c r="AI39" s="514">
        <v>1820</v>
      </c>
      <c r="AJ39" s="459">
        <v>46150</v>
      </c>
      <c r="AK39" s="515">
        <v>7713655</v>
      </c>
      <c r="AL39" s="514">
        <v>1850</v>
      </c>
      <c r="AM39" s="459">
        <v>46182</v>
      </c>
      <c r="AN39" s="515" t="s">
        <v>804</v>
      </c>
      <c r="AO39" s="465" t="s">
        <v>822</v>
      </c>
    </row>
    <row r="40" spans="1:41" s="465" customFormat="1" ht="27" customHeight="1" x14ac:dyDescent="0.3">
      <c r="A40" s="197"/>
      <c r="B40" s="286"/>
      <c r="C40" s="138"/>
      <c r="D40" s="1316" t="str">
        <f t="shared" si="0"/>
        <v xml:space="preserve">HELLEN MONTSERRAT HERNANDEZ GARCIA </v>
      </c>
      <c r="E40" s="516"/>
      <c r="F40" s="512"/>
      <c r="G40" s="513"/>
      <c r="H40" s="514">
        <v>2540</v>
      </c>
      <c r="I40" s="459">
        <v>45935</v>
      </c>
      <c r="J40" s="515" t="s">
        <v>697</v>
      </c>
      <c r="K40" s="514">
        <v>2540</v>
      </c>
      <c r="L40" s="459">
        <v>45935</v>
      </c>
      <c r="M40" s="515">
        <v>558963</v>
      </c>
      <c r="N40" s="514">
        <v>2540</v>
      </c>
      <c r="O40" s="459">
        <v>45964</v>
      </c>
      <c r="P40" s="515">
        <v>448521</v>
      </c>
      <c r="Q40" s="514">
        <v>2540</v>
      </c>
      <c r="R40" s="459">
        <v>45997</v>
      </c>
      <c r="S40" s="515">
        <v>331879</v>
      </c>
      <c r="T40" s="514">
        <v>2540</v>
      </c>
      <c r="U40" s="459">
        <v>45664</v>
      </c>
      <c r="V40" s="517">
        <v>542139</v>
      </c>
      <c r="W40" s="516"/>
      <c r="X40" s="512"/>
      <c r="Y40" s="513"/>
      <c r="Z40" s="514" t="s">
        <v>713</v>
      </c>
      <c r="AA40" s="459"/>
      <c r="AB40" s="517"/>
      <c r="AC40" s="514" t="s">
        <v>713</v>
      </c>
      <c r="AD40" s="459"/>
      <c r="AE40" s="517"/>
      <c r="AF40" s="514" t="s">
        <v>713</v>
      </c>
      <c r="AG40" s="459"/>
      <c r="AH40" s="517"/>
      <c r="AI40" s="514" t="s">
        <v>713</v>
      </c>
      <c r="AJ40" s="459"/>
      <c r="AK40" s="515"/>
      <c r="AL40" s="514"/>
      <c r="AM40" s="459"/>
      <c r="AN40" s="515"/>
    </row>
    <row r="41" spans="1:41" s="465" customFormat="1" ht="18" customHeight="1" x14ac:dyDescent="0.3">
      <c r="A41" s="197" t="s">
        <v>313</v>
      </c>
      <c r="B41" s="286"/>
      <c r="C41" s="138"/>
      <c r="D41" s="1316" t="str">
        <f t="shared" si="0"/>
        <v>ROMINA GONZALEZ HERNANDEZ</v>
      </c>
      <c r="E41" s="514"/>
      <c r="F41" s="459"/>
      <c r="G41" s="517"/>
      <c r="H41" s="514">
        <v>3246</v>
      </c>
      <c r="I41" s="459">
        <v>45903</v>
      </c>
      <c r="J41" s="515">
        <v>89006</v>
      </c>
      <c r="K41" s="514">
        <v>3246</v>
      </c>
      <c r="L41" s="459">
        <v>46300</v>
      </c>
      <c r="M41" s="515">
        <v>548972</v>
      </c>
      <c r="N41" s="514">
        <v>3246</v>
      </c>
      <c r="O41" s="459">
        <v>45962</v>
      </c>
      <c r="P41" s="515">
        <v>379546</v>
      </c>
      <c r="Q41" s="514">
        <v>3246</v>
      </c>
      <c r="R41" s="459">
        <v>46133</v>
      </c>
      <c r="S41" s="515">
        <v>93721298</v>
      </c>
      <c r="T41" s="514">
        <v>3246</v>
      </c>
      <c r="U41" s="459">
        <v>46133</v>
      </c>
      <c r="V41" s="517">
        <v>93721298</v>
      </c>
      <c r="W41" s="514"/>
      <c r="X41" s="459"/>
      <c r="Y41" s="515"/>
      <c r="Z41" s="514">
        <f>1508+1738</f>
        <v>3246</v>
      </c>
      <c r="AA41" s="1105" t="s">
        <v>660</v>
      </c>
      <c r="AB41" s="1106" t="s">
        <v>659</v>
      </c>
      <c r="AC41" s="514">
        <f>762+2484</f>
        <v>3246</v>
      </c>
      <c r="AD41" s="459">
        <v>46178</v>
      </c>
      <c r="AE41" s="517"/>
      <c r="AF41" s="514" t="s">
        <v>713</v>
      </c>
      <c r="AG41" s="459"/>
      <c r="AH41" s="517"/>
      <c r="AI41" s="514" t="s">
        <v>713</v>
      </c>
      <c r="AJ41" s="459"/>
      <c r="AK41" s="515"/>
      <c r="AL41" s="514"/>
      <c r="AM41" s="459"/>
      <c r="AN41" s="515"/>
    </row>
    <row r="42" spans="1:41" s="465" customFormat="1" ht="28.8" customHeight="1" x14ac:dyDescent="0.3">
      <c r="A42" s="197"/>
      <c r="B42" s="298"/>
      <c r="C42" s="187"/>
      <c r="D42" s="1314" t="str">
        <f t="shared" si="0"/>
        <v>KARLA VALENTINA ROSALES SAN JUAN</v>
      </c>
      <c r="E42" s="516"/>
      <c r="F42" s="512"/>
      <c r="G42" s="721"/>
      <c r="H42" s="514">
        <v>3249</v>
      </c>
      <c r="I42" s="459">
        <v>45918</v>
      </c>
      <c r="J42" s="515">
        <v>58168986</v>
      </c>
      <c r="K42" s="514">
        <v>3249</v>
      </c>
      <c r="L42" s="459">
        <v>45938</v>
      </c>
      <c r="M42" s="515">
        <v>55168601</v>
      </c>
      <c r="N42" s="514">
        <v>3249</v>
      </c>
      <c r="O42" s="459">
        <v>45966</v>
      </c>
      <c r="P42" s="515">
        <v>72108656</v>
      </c>
      <c r="Q42" s="514">
        <v>3249</v>
      </c>
      <c r="R42" s="459">
        <v>45997</v>
      </c>
      <c r="S42" s="515">
        <v>89237488</v>
      </c>
      <c r="T42" s="514">
        <v>3249</v>
      </c>
      <c r="U42" s="459">
        <v>46027</v>
      </c>
      <c r="V42" s="517">
        <v>59592380</v>
      </c>
      <c r="W42" s="516"/>
      <c r="X42" s="512"/>
      <c r="Y42" s="513"/>
      <c r="Z42" s="514">
        <v>3249</v>
      </c>
      <c r="AA42" s="459">
        <v>46059</v>
      </c>
      <c r="AB42" s="517">
        <v>4751520</v>
      </c>
      <c r="AC42" s="514">
        <v>3249</v>
      </c>
      <c r="AD42" s="459">
        <v>46086</v>
      </c>
      <c r="AE42" s="517">
        <v>5489746521</v>
      </c>
      <c r="AF42" s="514">
        <v>3300</v>
      </c>
      <c r="AG42" s="459">
        <v>46131</v>
      </c>
      <c r="AH42" s="517">
        <v>38396580</v>
      </c>
      <c r="AI42" s="514">
        <v>3249</v>
      </c>
      <c r="AJ42" s="459">
        <v>46147</v>
      </c>
      <c r="AK42" s="515">
        <v>18388546</v>
      </c>
      <c r="AL42" s="514">
        <v>3249</v>
      </c>
      <c r="AM42" s="459">
        <v>46174</v>
      </c>
      <c r="AN42" s="515">
        <v>63165277</v>
      </c>
    </row>
    <row r="43" spans="1:41" s="465" customFormat="1" ht="18" customHeight="1" x14ac:dyDescent="0.3">
      <c r="A43" s="197"/>
      <c r="B43" s="286"/>
      <c r="C43" s="138"/>
      <c r="D43" s="1316" t="str">
        <f t="shared" si="0"/>
        <v>EMILIO ESTRADA CABRERA</v>
      </c>
      <c r="E43" s="516"/>
      <c r="F43" s="512"/>
      <c r="G43" s="721"/>
      <c r="H43" s="514">
        <v>3048</v>
      </c>
      <c r="I43" s="459">
        <v>45902</v>
      </c>
      <c r="J43" s="515" t="s">
        <v>495</v>
      </c>
      <c r="K43" s="514">
        <v>3048</v>
      </c>
      <c r="L43" s="459">
        <v>45935</v>
      </c>
      <c r="M43" s="515" t="s">
        <v>495</v>
      </c>
      <c r="N43" s="514">
        <v>3048</v>
      </c>
      <c r="O43" s="459">
        <v>46332</v>
      </c>
      <c r="P43" s="515" t="s">
        <v>495</v>
      </c>
      <c r="Q43" s="514">
        <v>3048</v>
      </c>
      <c r="R43" s="459">
        <v>46361</v>
      </c>
      <c r="S43" s="515" t="s">
        <v>495</v>
      </c>
      <c r="T43" s="514">
        <v>3048</v>
      </c>
      <c r="U43" s="459">
        <v>46361</v>
      </c>
      <c r="V43" s="515" t="s">
        <v>495</v>
      </c>
      <c r="W43" s="516"/>
      <c r="X43" s="512"/>
      <c r="Y43" s="513"/>
      <c r="Z43" s="514">
        <v>3048</v>
      </c>
      <c r="AA43" s="459">
        <v>46361</v>
      </c>
      <c r="AB43" s="515" t="s">
        <v>495</v>
      </c>
      <c r="AC43" s="514">
        <v>3448</v>
      </c>
      <c r="AD43" s="459">
        <v>46190</v>
      </c>
      <c r="AE43" s="517" t="s">
        <v>827</v>
      </c>
      <c r="AF43" s="514">
        <v>1552</v>
      </c>
      <c r="AG43" s="459">
        <v>46190</v>
      </c>
      <c r="AH43" s="517" t="s">
        <v>827</v>
      </c>
      <c r="AI43" s="514" t="s">
        <v>713</v>
      </c>
      <c r="AJ43" s="459"/>
      <c r="AK43" s="515"/>
      <c r="AL43" s="514"/>
      <c r="AM43" s="459"/>
      <c r="AN43" s="515"/>
      <c r="AO43" s="465" t="s">
        <v>819</v>
      </c>
    </row>
    <row r="44" spans="1:41" s="465" customFormat="1" ht="18" customHeight="1" x14ac:dyDescent="0.3">
      <c r="A44" s="197"/>
      <c r="B44" s="286"/>
      <c r="C44" s="138"/>
      <c r="D44" s="1316" t="str">
        <f t="shared" si="0"/>
        <v>PAOLA AYALETH POLA CARDENAS</v>
      </c>
      <c r="E44" s="516"/>
      <c r="F44" s="512"/>
      <c r="G44" s="513"/>
      <c r="H44" s="514">
        <v>2386</v>
      </c>
      <c r="I44" s="459">
        <v>45993</v>
      </c>
      <c r="J44" s="515">
        <v>21225</v>
      </c>
      <c r="K44" s="514">
        <v>2686</v>
      </c>
      <c r="L44" s="459">
        <v>45993</v>
      </c>
      <c r="M44" s="515">
        <v>21225</v>
      </c>
      <c r="N44" s="514">
        <v>2686</v>
      </c>
      <c r="O44" s="459">
        <v>45993</v>
      </c>
      <c r="P44" s="515">
        <v>21225</v>
      </c>
      <c r="Q44" s="514">
        <v>2686</v>
      </c>
      <c r="R44" s="459">
        <v>45993</v>
      </c>
      <c r="S44" s="515">
        <v>21225</v>
      </c>
      <c r="T44" s="514">
        <v>2686</v>
      </c>
      <c r="U44" s="459">
        <v>46358</v>
      </c>
      <c r="V44" s="517">
        <v>21225</v>
      </c>
      <c r="W44" s="516"/>
      <c r="X44" s="512"/>
      <c r="Y44" s="718"/>
      <c r="Z44" s="514" t="s">
        <v>713</v>
      </c>
      <c r="AA44" s="459"/>
      <c r="AB44" s="517"/>
      <c r="AC44" s="514" t="s">
        <v>713</v>
      </c>
      <c r="AD44" s="459"/>
      <c r="AE44" s="517"/>
      <c r="AF44" s="514" t="s">
        <v>714</v>
      </c>
      <c r="AG44" s="459"/>
      <c r="AH44" s="517"/>
      <c r="AI44" s="514" t="s">
        <v>713</v>
      </c>
      <c r="AJ44" s="459"/>
      <c r="AK44" s="515"/>
      <c r="AL44" s="514"/>
      <c r="AM44" s="459"/>
      <c r="AN44" s="515"/>
    </row>
    <row r="45" spans="1:41" s="465" customFormat="1" ht="18" customHeight="1" x14ac:dyDescent="0.3">
      <c r="A45" s="197"/>
      <c r="B45" s="286"/>
      <c r="C45" s="138"/>
      <c r="D45" s="143"/>
      <c r="E45" s="514"/>
      <c r="F45" s="459"/>
      <c r="G45" s="517"/>
      <c r="H45" s="514">
        <v>23062</v>
      </c>
      <c r="I45" s="459"/>
      <c r="J45" s="515"/>
      <c r="K45" s="514"/>
      <c r="L45" s="459"/>
      <c r="M45" s="515"/>
      <c r="N45" s="514"/>
      <c r="O45" s="459"/>
      <c r="P45" s="515"/>
      <c r="Q45" s="514"/>
      <c r="R45" s="459"/>
      <c r="S45" s="515"/>
      <c r="T45" s="514"/>
      <c r="U45" s="459"/>
      <c r="V45" s="517"/>
      <c r="W45" s="514"/>
      <c r="X45" s="459"/>
      <c r="Y45" s="515"/>
      <c r="Z45" s="514"/>
      <c r="AA45" s="459"/>
      <c r="AB45" s="517"/>
      <c r="AC45" s="514"/>
      <c r="AD45" s="459"/>
      <c r="AE45" s="517"/>
      <c r="AF45" s="514"/>
      <c r="AG45" s="459"/>
      <c r="AH45" s="517"/>
      <c r="AI45" s="514"/>
      <c r="AJ45" s="459"/>
      <c r="AK45" s="515"/>
      <c r="AL45" s="514"/>
      <c r="AM45" s="459"/>
      <c r="AN45" s="515"/>
    </row>
    <row r="46" spans="1:41" s="465" customFormat="1" ht="18" customHeight="1" x14ac:dyDescent="0.3">
      <c r="A46" s="197"/>
      <c r="B46" s="286"/>
      <c r="C46" s="138"/>
      <c r="D46" s="143"/>
      <c r="E46" s="514"/>
      <c r="F46" s="459"/>
      <c r="G46" s="517"/>
      <c r="H46" s="514">
        <v>34142</v>
      </c>
      <c r="I46" s="459"/>
      <c r="J46" s="517"/>
      <c r="K46" s="514"/>
      <c r="L46" s="459"/>
      <c r="M46" s="517"/>
      <c r="N46" s="514"/>
      <c r="O46" s="459"/>
      <c r="P46" s="517"/>
      <c r="Q46" s="514"/>
      <c r="R46" s="459"/>
      <c r="S46" s="517"/>
      <c r="T46" s="514"/>
      <c r="U46" s="459"/>
      <c r="V46" s="517"/>
      <c r="W46" s="514"/>
      <c r="X46" s="459"/>
      <c r="Y46" s="515"/>
      <c r="Z46" s="514"/>
      <c r="AA46" s="459"/>
      <c r="AB46" s="517"/>
      <c r="AC46" s="514"/>
      <c r="AD46" s="459"/>
      <c r="AE46" s="517"/>
      <c r="AF46" s="514"/>
      <c r="AG46" s="459"/>
      <c r="AH46" s="517"/>
      <c r="AI46" s="514"/>
      <c r="AJ46" s="459"/>
      <c r="AK46" s="515"/>
      <c r="AL46" s="514"/>
      <c r="AM46" s="459"/>
      <c r="AN46" s="515"/>
    </row>
    <row r="47" spans="1:41" s="465" customFormat="1" ht="18" customHeight="1" x14ac:dyDescent="0.3">
      <c r="A47" s="197"/>
      <c r="B47" s="286"/>
      <c r="C47" s="138"/>
      <c r="D47" s="143"/>
      <c r="E47" s="514"/>
      <c r="F47" s="459"/>
      <c r="G47" s="517"/>
      <c r="H47" s="514"/>
      <c r="I47" s="459"/>
      <c r="J47" s="517"/>
      <c r="K47" s="514"/>
      <c r="L47" s="459"/>
      <c r="M47" s="515"/>
      <c r="N47" s="514"/>
      <c r="O47" s="459"/>
      <c r="P47" s="515"/>
      <c r="Q47" s="514"/>
      <c r="R47" s="459"/>
      <c r="S47" s="517"/>
      <c r="T47" s="514"/>
      <c r="U47" s="459"/>
      <c r="V47" s="517"/>
      <c r="W47" s="514"/>
      <c r="X47" s="459"/>
      <c r="Y47" s="515"/>
      <c r="Z47" s="514"/>
      <c r="AA47" s="459"/>
      <c r="AB47" s="517"/>
      <c r="AC47" s="514"/>
      <c r="AD47" s="459"/>
      <c r="AE47" s="517"/>
      <c r="AF47" s="514"/>
      <c r="AG47" s="459"/>
      <c r="AH47" s="517"/>
      <c r="AI47" s="514"/>
      <c r="AJ47" s="459"/>
      <c r="AK47" s="517"/>
      <c r="AL47" s="514"/>
      <c r="AM47" s="459"/>
      <c r="AN47" s="515"/>
    </row>
    <row r="48" spans="1:41" s="465" customFormat="1" ht="18" customHeight="1" thickBot="1" x14ac:dyDescent="0.35">
      <c r="A48" s="197"/>
      <c r="B48" s="289"/>
      <c r="C48" s="147"/>
      <c r="D48" s="148"/>
      <c r="E48" s="521"/>
      <c r="F48" s="490"/>
      <c r="G48" s="522"/>
      <c r="H48" s="521"/>
      <c r="I48" s="490"/>
      <c r="J48" s="523"/>
      <c r="K48" s="521"/>
      <c r="L48" s="490"/>
      <c r="M48" s="523"/>
      <c r="N48" s="521"/>
      <c r="O48" s="490"/>
      <c r="P48" s="523"/>
      <c r="Q48" s="521"/>
      <c r="R48" s="490"/>
      <c r="S48" s="522"/>
      <c r="T48" s="521"/>
      <c r="U48" s="490"/>
      <c r="V48" s="523"/>
      <c r="W48" s="521"/>
      <c r="X48" s="490"/>
      <c r="Y48" s="523"/>
      <c r="Z48" s="521"/>
      <c r="AA48" s="490"/>
      <c r="AB48" s="522"/>
      <c r="AC48" s="521"/>
      <c r="AD48" s="490"/>
      <c r="AE48" s="522"/>
      <c r="AF48" s="521"/>
      <c r="AG48" s="490"/>
      <c r="AH48" s="522"/>
      <c r="AI48" s="521"/>
      <c r="AJ48" s="490"/>
      <c r="AK48" s="522"/>
      <c r="AL48" s="521"/>
      <c r="AM48" s="490"/>
      <c r="AN48" s="523"/>
    </row>
    <row r="50" spans="8:9" ht="18" customHeight="1" x14ac:dyDescent="0.25">
      <c r="H50" s="439">
        <v>2309</v>
      </c>
      <c r="I50" s="439">
        <v>9236</v>
      </c>
    </row>
  </sheetData>
  <mergeCells count="21">
    <mergeCell ref="F4:Q4"/>
    <mergeCell ref="S4:U4"/>
    <mergeCell ref="F1:Q1"/>
    <mergeCell ref="S1:U1"/>
    <mergeCell ref="F2:Q2"/>
    <mergeCell ref="S2:U2"/>
    <mergeCell ref="F3:Q3"/>
    <mergeCell ref="S3:U3"/>
    <mergeCell ref="B29:AN29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N30"/>
  </mergeCells>
  <conditionalFormatting sqref="F8:T24">
    <cfRule type="notContainsBlanks" dxfId="6" priority="1">
      <formula>LEN(TRIM(F8))&gt;0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48"/>
  <sheetViews>
    <sheetView topLeftCell="A16" zoomScale="80" zoomScaleNormal="80" workbookViewId="0">
      <selection activeCell="E25" sqref="E25"/>
    </sheetView>
  </sheetViews>
  <sheetFormatPr baseColWidth="10" defaultColWidth="11.44140625" defaultRowHeight="14.4" x14ac:dyDescent="0.3"/>
  <cols>
    <col min="2" max="2" width="3.21875" bestFit="1" customWidth="1"/>
    <col min="3" max="3" width="9.77734375" bestFit="1" customWidth="1"/>
    <col min="4" max="4" width="33.109375" bestFit="1" customWidth="1"/>
    <col min="5" max="5" width="16.5546875" bestFit="1" customWidth="1"/>
    <col min="6" max="6" width="12" bestFit="1" customWidth="1"/>
    <col min="7" max="7" width="7.109375" bestFit="1" customWidth="1"/>
    <col min="8" max="8" width="10.21875" bestFit="1" customWidth="1"/>
    <col min="9" max="9" width="11.44140625" bestFit="1" customWidth="1"/>
    <col min="10" max="10" width="11.88671875" bestFit="1" customWidth="1"/>
    <col min="11" max="11" width="21.77734375" bestFit="1" customWidth="1"/>
    <col min="12" max="12" width="11.44140625" bestFit="1" customWidth="1"/>
    <col min="13" max="13" width="18.5546875" bestFit="1" customWidth="1"/>
    <col min="14" max="14" width="20.44140625" bestFit="1" customWidth="1"/>
    <col min="15" max="15" width="11.44140625" bestFit="1" customWidth="1"/>
    <col min="16" max="16" width="18.5546875" bestFit="1" customWidth="1"/>
    <col min="17" max="17" width="20.44140625" bestFit="1" customWidth="1"/>
    <col min="18" max="18" width="9.6640625" bestFit="1" customWidth="1"/>
    <col min="19" max="19" width="11.88671875" bestFit="1" customWidth="1"/>
    <col min="20" max="20" width="8.5546875" bestFit="1" customWidth="1"/>
    <col min="21" max="21" width="9.109375" bestFit="1" customWidth="1"/>
    <col min="22" max="22" width="7" bestFit="1" customWidth="1"/>
    <col min="23" max="24" width="11.44140625" bestFit="1" customWidth="1"/>
    <col min="25" max="25" width="7" bestFit="1" customWidth="1"/>
    <col min="26" max="26" width="8.5546875" bestFit="1" customWidth="1"/>
    <col min="27" max="27" width="7.33203125" bestFit="1" customWidth="1"/>
    <col min="28" max="28" width="7" bestFit="1" customWidth="1"/>
    <col min="29" max="29" width="8.5546875" bestFit="1" customWidth="1"/>
    <col min="30" max="30" width="7.33203125" bestFit="1" customWidth="1"/>
    <col min="31" max="31" width="7" bestFit="1" customWidth="1"/>
    <col min="32" max="32" width="8.5546875" bestFit="1" customWidth="1"/>
    <col min="33" max="33" width="7.33203125" bestFit="1" customWidth="1"/>
    <col min="34" max="34" width="7" bestFit="1" customWidth="1"/>
    <col min="35" max="35" width="8.5546875" bestFit="1" customWidth="1"/>
    <col min="36" max="36" width="7.33203125" bestFit="1" customWidth="1"/>
    <col min="37" max="37" width="7" bestFit="1" customWidth="1"/>
    <col min="38" max="38" width="8.5546875" bestFit="1" customWidth="1"/>
    <col min="39" max="39" width="7.33203125" bestFit="1" customWidth="1"/>
    <col min="40" max="40" width="7" bestFit="1" customWidth="1"/>
  </cols>
  <sheetData>
    <row r="1" spans="1:24" ht="37.200000000000003" thickBot="1" x14ac:dyDescent="0.35">
      <c r="E1" s="1"/>
      <c r="F1" s="1354" t="s">
        <v>0</v>
      </c>
      <c r="G1" s="1354"/>
      <c r="H1" s="1354"/>
      <c r="I1" s="1354"/>
      <c r="J1" s="1354"/>
      <c r="K1" s="1354"/>
      <c r="L1" s="1354"/>
      <c r="M1" s="1354"/>
      <c r="N1" s="1354"/>
      <c r="O1" s="1354"/>
      <c r="P1" s="1354"/>
      <c r="Q1" s="1409"/>
      <c r="R1" s="4"/>
      <c r="S1" s="1347" t="s">
        <v>1</v>
      </c>
      <c r="T1" s="1345"/>
      <c r="U1" s="1346"/>
    </row>
    <row r="2" spans="1:24" ht="19.05" customHeight="1" thickBot="1" x14ac:dyDescent="0.35">
      <c r="E2" s="2"/>
      <c r="F2" s="1355" t="s">
        <v>2</v>
      </c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408"/>
      <c r="R2" s="5"/>
      <c r="S2" s="1347" t="s">
        <v>3</v>
      </c>
      <c r="T2" s="1345"/>
      <c r="U2" s="1346"/>
    </row>
    <row r="3" spans="1:24" ht="16.8" thickBot="1" x14ac:dyDescent="0.35">
      <c r="E3" s="3"/>
      <c r="F3" s="1344" t="s">
        <v>52</v>
      </c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Q3" s="1407"/>
      <c r="R3" s="6"/>
      <c r="S3" s="1347" t="s">
        <v>5</v>
      </c>
      <c r="T3" s="1345"/>
      <c r="U3" s="1346"/>
    </row>
    <row r="4" spans="1:24" ht="16.8" thickBot="1" x14ac:dyDescent="0.35">
      <c r="C4" s="8"/>
      <c r="D4" s="9" t="s">
        <v>6</v>
      </c>
      <c r="F4" s="1344" t="s">
        <v>39</v>
      </c>
      <c r="G4" s="1344"/>
      <c r="H4" s="1344"/>
      <c r="I4" s="1344"/>
      <c r="J4" s="1344"/>
      <c r="K4" s="1344"/>
      <c r="L4" s="1344"/>
      <c r="M4" s="1344"/>
      <c r="N4" s="1344"/>
      <c r="O4" s="1344"/>
      <c r="P4" s="1344"/>
      <c r="Q4" s="1407"/>
      <c r="R4" s="32"/>
      <c r="S4" s="1347" t="s">
        <v>7</v>
      </c>
      <c r="T4" s="1345"/>
      <c r="U4" s="1346"/>
    </row>
    <row r="6" spans="1:24" ht="15" thickBot="1" x14ac:dyDescent="0.35"/>
    <row r="7" spans="1:24" ht="15" thickBot="1" x14ac:dyDescent="0.35">
      <c r="B7" s="10" t="s">
        <v>9</v>
      </c>
      <c r="C7" s="11" t="s">
        <v>10</v>
      </c>
      <c r="D7" s="12" t="s">
        <v>11</v>
      </c>
      <c r="E7" s="14" t="s">
        <v>12</v>
      </c>
      <c r="F7" s="92" t="s">
        <v>13</v>
      </c>
      <c r="G7" s="92" t="s">
        <v>14</v>
      </c>
      <c r="H7" s="93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29" t="s">
        <v>20</v>
      </c>
      <c r="V7" s="30" t="s">
        <v>21</v>
      </c>
      <c r="W7" s="31" t="s">
        <v>22</v>
      </c>
      <c r="X7" s="31" t="s">
        <v>38</v>
      </c>
    </row>
    <row r="8" spans="1:24" s="194" customFormat="1" ht="13.8" x14ac:dyDescent="0.25">
      <c r="A8" s="208"/>
      <c r="B8" s="290"/>
      <c r="C8" s="103"/>
      <c r="D8" s="104"/>
      <c r="E8" s="230"/>
      <c r="F8" s="261"/>
      <c r="G8" s="261"/>
      <c r="H8" s="261"/>
      <c r="I8" s="180"/>
      <c r="J8" s="179"/>
      <c r="K8" s="109"/>
      <c r="L8" s="180"/>
      <c r="M8" s="179"/>
      <c r="N8" s="109"/>
      <c r="O8" s="180"/>
      <c r="P8" s="179"/>
      <c r="Q8" s="181"/>
      <c r="R8" s="180"/>
      <c r="S8" s="179"/>
      <c r="T8" s="181"/>
      <c r="U8" s="103"/>
      <c r="V8" s="182"/>
      <c r="W8" s="206"/>
      <c r="X8" s="207"/>
    </row>
    <row r="9" spans="1:24" s="194" customFormat="1" ht="13.8" x14ac:dyDescent="0.25">
      <c r="A9" s="208"/>
      <c r="B9" s="290"/>
      <c r="C9" s="103"/>
      <c r="D9" s="104"/>
      <c r="E9" s="230"/>
      <c r="F9" s="261"/>
      <c r="G9" s="261"/>
      <c r="H9" s="261"/>
      <c r="I9" s="180"/>
      <c r="J9" s="179"/>
      <c r="K9" s="109"/>
      <c r="L9" s="180"/>
      <c r="M9" s="179"/>
      <c r="N9" s="109"/>
      <c r="O9" s="180"/>
      <c r="P9" s="179"/>
      <c r="Q9" s="181"/>
      <c r="R9" s="180"/>
      <c r="S9" s="179"/>
      <c r="T9" s="181"/>
      <c r="U9" s="103"/>
      <c r="V9" s="182"/>
      <c r="W9" s="206"/>
      <c r="X9" s="207"/>
    </row>
    <row r="10" spans="1:24" s="194" customFormat="1" ht="13.8" x14ac:dyDescent="0.25">
      <c r="A10" s="208"/>
      <c r="B10" s="290"/>
      <c r="C10" s="103"/>
      <c r="D10" s="104"/>
      <c r="E10" s="230"/>
      <c r="F10" s="261"/>
      <c r="G10" s="261"/>
      <c r="H10" s="261"/>
      <c r="I10" s="180"/>
      <c r="J10" s="179"/>
      <c r="K10" s="109"/>
      <c r="L10" s="180"/>
      <c r="M10" s="179"/>
      <c r="N10" s="109"/>
      <c r="O10" s="180"/>
      <c r="P10" s="179"/>
      <c r="Q10" s="181"/>
      <c r="R10" s="180"/>
      <c r="S10" s="179"/>
      <c r="T10" s="181"/>
      <c r="U10" s="103"/>
      <c r="V10" s="182"/>
      <c r="W10" s="206"/>
      <c r="X10" s="207"/>
    </row>
    <row r="11" spans="1:24" s="194" customFormat="1" ht="28.05" customHeight="1" x14ac:dyDescent="0.25">
      <c r="A11" s="208"/>
      <c r="B11" s="290"/>
      <c r="C11" s="103"/>
      <c r="D11" s="104"/>
      <c r="E11" s="230"/>
      <c r="F11" s="261"/>
      <c r="G11" s="261"/>
      <c r="H11" s="261"/>
      <c r="I11" s="180"/>
      <c r="J11" s="179"/>
      <c r="K11" s="109"/>
      <c r="L11" s="180"/>
      <c r="M11" s="179"/>
      <c r="N11" s="109"/>
      <c r="O11" s="180"/>
      <c r="P11" s="179"/>
      <c r="Q11" s="181"/>
      <c r="R11" s="180"/>
      <c r="S11" s="179"/>
      <c r="T11" s="181"/>
      <c r="U11" s="103"/>
      <c r="V11" s="182"/>
      <c r="W11" s="206"/>
      <c r="X11" s="207"/>
    </row>
    <row r="12" spans="1:24" s="194" customFormat="1" ht="13.8" x14ac:dyDescent="0.25">
      <c r="A12" s="208"/>
      <c r="B12" s="290"/>
      <c r="C12" s="103"/>
      <c r="D12" s="104"/>
      <c r="E12" s="230"/>
      <c r="F12" s="261"/>
      <c r="G12" s="261"/>
      <c r="H12" s="261"/>
      <c r="I12" s="180"/>
      <c r="J12" s="179"/>
      <c r="K12" s="109"/>
      <c r="L12" s="180"/>
      <c r="M12" s="179"/>
      <c r="N12" s="109"/>
      <c r="O12" s="180"/>
      <c r="P12" s="179"/>
      <c r="Q12" s="181"/>
      <c r="R12" s="180"/>
      <c r="S12" s="179"/>
      <c r="T12" s="181"/>
      <c r="U12" s="103"/>
      <c r="V12" s="182"/>
      <c r="W12" s="206"/>
      <c r="X12" s="207"/>
    </row>
    <row r="13" spans="1:24" s="194" customFormat="1" ht="13.8" x14ac:dyDescent="0.25">
      <c r="A13" s="208"/>
      <c r="B13" s="290"/>
      <c r="C13" s="103"/>
      <c r="D13" s="104"/>
      <c r="E13" s="230"/>
      <c r="F13" s="261"/>
      <c r="G13" s="261"/>
      <c r="H13" s="261"/>
      <c r="I13" s="180"/>
      <c r="J13" s="179"/>
      <c r="K13" s="109"/>
      <c r="L13" s="180"/>
      <c r="M13" s="179"/>
      <c r="N13" s="109"/>
      <c r="O13" s="180"/>
      <c r="P13" s="179"/>
      <c r="Q13" s="181"/>
      <c r="R13" s="180"/>
      <c r="S13" s="179"/>
      <c r="T13" s="181"/>
      <c r="U13" s="103"/>
      <c r="V13" s="182"/>
      <c r="W13" s="206"/>
      <c r="X13" s="207"/>
    </row>
    <row r="14" spans="1:24" s="194" customFormat="1" ht="13.8" x14ac:dyDescent="0.25">
      <c r="A14" s="208"/>
      <c r="B14" s="290"/>
      <c r="C14" s="103"/>
      <c r="D14" s="104"/>
      <c r="E14" s="230"/>
      <c r="F14" s="262"/>
      <c r="G14" s="262"/>
      <c r="H14" s="262"/>
      <c r="I14" s="209"/>
      <c r="J14" s="177"/>
      <c r="K14" s="109"/>
      <c r="L14" s="209"/>
      <c r="M14" s="177"/>
      <c r="N14" s="109"/>
      <c r="O14" s="209"/>
      <c r="P14" s="177"/>
      <c r="Q14" s="181"/>
      <c r="R14" s="209"/>
      <c r="S14" s="177"/>
      <c r="T14" s="181"/>
      <c r="U14" s="103"/>
      <c r="V14" s="210"/>
      <c r="W14" s="211"/>
      <c r="X14" s="207"/>
    </row>
    <row r="15" spans="1:24" s="194" customFormat="1" ht="13.8" x14ac:dyDescent="0.25">
      <c r="A15" s="208"/>
      <c r="B15" s="290"/>
      <c r="C15" s="103"/>
      <c r="D15" s="104"/>
      <c r="E15" s="230"/>
      <c r="F15" s="262"/>
      <c r="G15" s="262"/>
      <c r="H15" s="262"/>
      <c r="I15" s="209"/>
      <c r="J15" s="177"/>
      <c r="K15" s="109"/>
      <c r="L15" s="180"/>
      <c r="M15" s="177"/>
      <c r="N15" s="109"/>
      <c r="O15" s="209"/>
      <c r="P15" s="177"/>
      <c r="Q15" s="181"/>
      <c r="R15" s="209"/>
      <c r="S15" s="177"/>
      <c r="T15" s="181"/>
      <c r="U15" s="103"/>
      <c r="V15" s="182"/>
      <c r="W15" s="211"/>
      <c r="X15" s="207"/>
    </row>
    <row r="16" spans="1:24" s="194" customFormat="1" ht="13.8" x14ac:dyDescent="0.25">
      <c r="A16" s="208"/>
      <c r="B16" s="290"/>
      <c r="C16" s="103"/>
      <c r="D16" s="104"/>
      <c r="E16" s="230"/>
      <c r="F16" s="262"/>
      <c r="G16" s="262"/>
      <c r="H16" s="262"/>
      <c r="I16" s="209"/>
      <c r="J16" s="177"/>
      <c r="K16" s="109"/>
      <c r="L16" s="180"/>
      <c r="M16" s="177"/>
      <c r="N16" s="109"/>
      <c r="O16" s="209"/>
      <c r="P16" s="177"/>
      <c r="Q16" s="181"/>
      <c r="R16" s="209"/>
      <c r="S16" s="177"/>
      <c r="T16" s="181"/>
      <c r="U16" s="103"/>
      <c r="V16" s="210"/>
      <c r="W16" s="211"/>
      <c r="X16" s="207"/>
    </row>
    <row r="17" spans="1:40" s="194" customFormat="1" ht="13.8" x14ac:dyDescent="0.25">
      <c r="A17" s="208"/>
      <c r="B17" s="290"/>
      <c r="C17" s="103"/>
      <c r="D17" s="104"/>
      <c r="E17" s="230"/>
      <c r="F17" s="262"/>
      <c r="G17" s="262"/>
      <c r="H17" s="262"/>
      <c r="I17" s="209"/>
      <c r="J17" s="208"/>
      <c r="K17" s="109"/>
      <c r="L17" s="180"/>
      <c r="M17" s="177"/>
      <c r="N17" s="109"/>
      <c r="O17" s="209"/>
      <c r="P17" s="177"/>
      <c r="Q17" s="181"/>
      <c r="R17" s="209"/>
      <c r="S17" s="177"/>
      <c r="T17" s="181"/>
      <c r="U17" s="103"/>
      <c r="V17" s="210"/>
      <c r="W17" s="211"/>
      <c r="X17" s="207"/>
    </row>
    <row r="18" spans="1:40" s="196" customFormat="1" ht="13.8" x14ac:dyDescent="0.25">
      <c r="A18" s="189"/>
      <c r="B18" s="290"/>
      <c r="C18" s="189"/>
      <c r="D18" s="104"/>
      <c r="E18" s="230"/>
      <c r="F18" s="263"/>
      <c r="G18" s="263"/>
      <c r="H18" s="263"/>
      <c r="I18" s="212"/>
      <c r="J18" s="189"/>
      <c r="K18" s="116"/>
      <c r="L18" s="176"/>
      <c r="M18" s="213"/>
      <c r="N18" s="116"/>
      <c r="O18" s="212"/>
      <c r="P18" s="189"/>
      <c r="Q18" s="183"/>
      <c r="R18" s="212"/>
      <c r="S18" s="189"/>
      <c r="T18" s="183"/>
      <c r="U18" s="175"/>
      <c r="V18" s="175"/>
      <c r="W18" s="214"/>
      <c r="X18" s="178"/>
    </row>
    <row r="19" spans="1:40" s="194" customFormat="1" ht="13.8" x14ac:dyDescent="0.25">
      <c r="A19" s="208"/>
      <c r="B19" s="290"/>
      <c r="C19" s="103"/>
      <c r="D19" s="104"/>
      <c r="E19" s="230"/>
      <c r="F19" s="262"/>
      <c r="G19" s="262"/>
      <c r="H19" s="262"/>
      <c r="I19" s="209"/>
      <c r="J19" s="177"/>
      <c r="K19" s="109"/>
      <c r="L19" s="180"/>
      <c r="M19" s="177"/>
      <c r="N19" s="109"/>
      <c r="O19" s="209"/>
      <c r="P19" s="177"/>
      <c r="Q19" s="181"/>
      <c r="R19" s="209"/>
      <c r="S19" s="177"/>
      <c r="T19" s="181"/>
      <c r="U19" s="103"/>
      <c r="V19" s="210"/>
      <c r="W19" s="211"/>
      <c r="X19" s="207"/>
    </row>
    <row r="20" spans="1:40" s="194" customFormat="1" ht="13.8" x14ac:dyDescent="0.25">
      <c r="A20" s="208"/>
      <c r="B20" s="290"/>
      <c r="C20" s="103"/>
      <c r="D20" s="104"/>
      <c r="E20" s="230"/>
      <c r="F20" s="262"/>
      <c r="G20" s="262"/>
      <c r="H20" s="262"/>
      <c r="I20" s="209"/>
      <c r="J20" s="177"/>
      <c r="K20" s="109"/>
      <c r="L20" s="180"/>
      <c r="M20" s="177"/>
      <c r="N20" s="109"/>
      <c r="O20" s="209"/>
      <c r="P20" s="177"/>
      <c r="Q20" s="181"/>
      <c r="R20" s="209"/>
      <c r="S20" s="215"/>
      <c r="T20" s="216"/>
      <c r="U20" s="103"/>
      <c r="V20" s="210"/>
      <c r="W20" s="211"/>
      <c r="X20" s="207"/>
    </row>
    <row r="21" spans="1:40" s="194" customFormat="1" ht="13.8" x14ac:dyDescent="0.25">
      <c r="A21" s="208"/>
      <c r="B21" s="290"/>
      <c r="C21" s="103"/>
      <c r="D21" s="104"/>
      <c r="E21" s="230"/>
      <c r="F21" s="262"/>
      <c r="G21" s="262"/>
      <c r="H21" s="262"/>
      <c r="I21" s="209"/>
      <c r="J21" s="177"/>
      <c r="K21" s="109"/>
      <c r="L21" s="180"/>
      <c r="M21" s="177"/>
      <c r="N21" s="109"/>
      <c r="O21" s="209"/>
      <c r="P21" s="177"/>
      <c r="Q21" s="181"/>
      <c r="R21" s="209"/>
      <c r="S21" s="208"/>
      <c r="T21" s="181"/>
      <c r="U21" s="103"/>
      <c r="V21" s="210"/>
      <c r="W21" s="211"/>
      <c r="X21" s="207"/>
    </row>
    <row r="22" spans="1:40" s="194" customFormat="1" ht="13.8" x14ac:dyDescent="0.25">
      <c r="A22" s="208"/>
      <c r="B22" s="290"/>
      <c r="C22" s="103"/>
      <c r="D22" s="104"/>
      <c r="E22" s="230"/>
      <c r="F22" s="262"/>
      <c r="G22" s="262"/>
      <c r="H22" s="262"/>
      <c r="I22" s="209"/>
      <c r="J22" s="177"/>
      <c r="K22" s="109"/>
      <c r="L22" s="180"/>
      <c r="M22" s="179"/>
      <c r="N22" s="109"/>
      <c r="O22" s="209"/>
      <c r="P22" s="177"/>
      <c r="Q22" s="181"/>
      <c r="R22" s="209"/>
      <c r="S22" s="177"/>
      <c r="T22" s="181"/>
      <c r="U22" s="103"/>
      <c r="V22" s="182"/>
      <c r="W22" s="211"/>
      <c r="X22" s="207"/>
    </row>
    <row r="23" spans="1:40" s="194" customFormat="1" ht="13.8" x14ac:dyDescent="0.25">
      <c r="A23" s="208"/>
      <c r="B23" s="290"/>
      <c r="C23" s="103"/>
      <c r="D23" s="104"/>
      <c r="E23" s="230"/>
      <c r="F23" s="262"/>
      <c r="G23" s="262"/>
      <c r="H23" s="262"/>
      <c r="I23" s="209"/>
      <c r="J23" s="177"/>
      <c r="K23" s="109"/>
      <c r="L23" s="180"/>
      <c r="M23" s="179"/>
      <c r="N23" s="109"/>
      <c r="O23" s="209"/>
      <c r="P23" s="177"/>
      <c r="Q23" s="181"/>
      <c r="R23" s="209"/>
      <c r="S23" s="177"/>
      <c r="T23" s="181"/>
      <c r="U23" s="103"/>
      <c r="V23" s="182"/>
      <c r="W23" s="211"/>
      <c r="X23" s="207"/>
    </row>
    <row r="24" spans="1:40" s="194" customFormat="1" thickBot="1" x14ac:dyDescent="0.3">
      <c r="A24" s="208"/>
      <c r="B24" s="292"/>
      <c r="C24" s="122"/>
      <c r="D24" s="123"/>
      <c r="E24" s="217"/>
      <c r="F24" s="262"/>
      <c r="G24" s="262"/>
      <c r="H24" s="262"/>
      <c r="I24" s="218"/>
      <c r="J24" s="174"/>
      <c r="K24" s="128"/>
      <c r="L24" s="184"/>
      <c r="M24" s="174"/>
      <c r="N24" s="128"/>
      <c r="O24" s="218"/>
      <c r="P24" s="174"/>
      <c r="Q24" s="185"/>
      <c r="R24" s="218"/>
      <c r="S24" s="174"/>
      <c r="T24" s="185"/>
      <c r="U24" s="122"/>
      <c r="V24" s="219"/>
      <c r="W24" s="220"/>
      <c r="X24" s="221"/>
    </row>
    <row r="28" spans="1:40" ht="15" thickBot="1" x14ac:dyDescent="0.35"/>
    <row r="29" spans="1:40" ht="18" thickBot="1" x14ac:dyDescent="0.35">
      <c r="B29" s="1351" t="s">
        <v>24</v>
      </c>
      <c r="C29" s="1352"/>
      <c r="D29" s="1352"/>
      <c r="E29" s="1352"/>
      <c r="F29" s="1352"/>
      <c r="G29" s="1352"/>
      <c r="H29" s="1352"/>
      <c r="I29" s="1352"/>
      <c r="J29" s="1352"/>
      <c r="K29" s="1352"/>
      <c r="L29" s="1352"/>
      <c r="M29" s="1352"/>
      <c r="N29" s="1352"/>
      <c r="O29" s="1352"/>
      <c r="P29" s="1352"/>
      <c r="Q29" s="1352"/>
      <c r="R29" s="1352"/>
      <c r="S29" s="1352"/>
      <c r="T29" s="1352"/>
      <c r="U29" s="1352"/>
      <c r="V29" s="1352"/>
      <c r="W29" s="1352"/>
      <c r="X29" s="1352"/>
      <c r="Y29" s="1352"/>
      <c r="Z29" s="1352"/>
      <c r="AA29" s="1352"/>
      <c r="AB29" s="1352"/>
      <c r="AC29" s="1352"/>
      <c r="AD29" s="1352"/>
      <c r="AE29" s="1352"/>
      <c r="AF29" s="1352"/>
      <c r="AG29" s="1352"/>
      <c r="AH29" s="1352"/>
      <c r="AI29" s="1352"/>
      <c r="AJ29" s="1352"/>
      <c r="AK29" s="1352"/>
      <c r="AL29" s="1352"/>
      <c r="AM29" s="1352"/>
      <c r="AN29" s="1353"/>
    </row>
    <row r="30" spans="1:40" ht="15" thickBot="1" x14ac:dyDescent="0.35">
      <c r="B30" s="45" t="s">
        <v>9</v>
      </c>
      <c r="C30" s="46" t="s">
        <v>10</v>
      </c>
      <c r="D30" s="45" t="s">
        <v>11</v>
      </c>
      <c r="E30" s="1339" t="s">
        <v>25</v>
      </c>
      <c r="F30" s="1340"/>
      <c r="G30" s="1341"/>
      <c r="H30" s="1339" t="s">
        <v>26</v>
      </c>
      <c r="I30" s="1340"/>
      <c r="J30" s="1341"/>
      <c r="K30" s="1339" t="s">
        <v>27</v>
      </c>
      <c r="L30" s="1340"/>
      <c r="M30" s="1341"/>
      <c r="N30" s="1339" t="s">
        <v>28</v>
      </c>
      <c r="O30" s="1340"/>
      <c r="P30" s="1341"/>
      <c r="Q30" s="1339" t="s">
        <v>29</v>
      </c>
      <c r="R30" s="1340"/>
      <c r="S30" s="1341"/>
      <c r="T30" s="1339" t="s">
        <v>30</v>
      </c>
      <c r="U30" s="1340"/>
      <c r="V30" s="1341"/>
      <c r="W30" s="1339" t="s">
        <v>36</v>
      </c>
      <c r="X30" s="1340"/>
      <c r="Y30" s="1341"/>
      <c r="Z30" s="1339" t="s">
        <v>31</v>
      </c>
      <c r="AA30" s="1340"/>
      <c r="AB30" s="1341"/>
      <c r="AC30" s="1339" t="s">
        <v>32</v>
      </c>
      <c r="AD30" s="1340"/>
      <c r="AE30" s="1341"/>
      <c r="AF30" s="1339" t="s">
        <v>33</v>
      </c>
      <c r="AG30" s="1340"/>
      <c r="AH30" s="1341"/>
      <c r="AI30" s="1339" t="s">
        <v>34</v>
      </c>
      <c r="AJ30" s="1340"/>
      <c r="AK30" s="1341"/>
      <c r="AL30" s="1339" t="s">
        <v>35</v>
      </c>
      <c r="AM30" s="1340"/>
      <c r="AN30" s="1341"/>
    </row>
    <row r="31" spans="1:40" ht="15" thickBot="1" x14ac:dyDescent="0.35">
      <c r="B31" s="47"/>
      <c r="C31" s="48"/>
      <c r="D31" s="48"/>
      <c r="E31" s="89" t="s">
        <v>37</v>
      </c>
      <c r="F31" s="90" t="s">
        <v>15</v>
      </c>
      <c r="G31" s="91" t="s">
        <v>14</v>
      </c>
      <c r="H31" s="90" t="s">
        <v>37</v>
      </c>
      <c r="I31" s="90" t="s">
        <v>15</v>
      </c>
      <c r="J31" s="90" t="s">
        <v>14</v>
      </c>
      <c r="K31" s="89" t="s">
        <v>37</v>
      </c>
      <c r="L31" s="90" t="s">
        <v>15</v>
      </c>
      <c r="M31" s="91" t="s">
        <v>14</v>
      </c>
      <c r="N31" s="90" t="s">
        <v>37</v>
      </c>
      <c r="O31" s="90" t="s">
        <v>15</v>
      </c>
      <c r="P31" s="90" t="s">
        <v>14</v>
      </c>
      <c r="Q31" s="89" t="s">
        <v>37</v>
      </c>
      <c r="R31" s="90" t="s">
        <v>15</v>
      </c>
      <c r="S31" s="91" t="s">
        <v>14</v>
      </c>
      <c r="T31" s="90" t="s">
        <v>37</v>
      </c>
      <c r="U31" s="90" t="s">
        <v>15</v>
      </c>
      <c r="V31" s="90" t="s">
        <v>14</v>
      </c>
      <c r="W31" s="89" t="s">
        <v>37</v>
      </c>
      <c r="X31" s="90" t="s">
        <v>15</v>
      </c>
      <c r="Y31" s="91" t="s">
        <v>14</v>
      </c>
      <c r="Z31" s="90" t="s">
        <v>37</v>
      </c>
      <c r="AA31" s="90" t="s">
        <v>15</v>
      </c>
      <c r="AB31" s="90" t="s">
        <v>14</v>
      </c>
      <c r="AC31" s="89" t="s">
        <v>37</v>
      </c>
      <c r="AD31" s="90" t="s">
        <v>15</v>
      </c>
      <c r="AE31" s="91" t="s">
        <v>14</v>
      </c>
      <c r="AF31" s="90" t="s">
        <v>37</v>
      </c>
      <c r="AG31" s="90" t="s">
        <v>15</v>
      </c>
      <c r="AH31" s="90" t="s">
        <v>14</v>
      </c>
      <c r="AI31" s="89" t="s">
        <v>37</v>
      </c>
      <c r="AJ31" s="90" t="s">
        <v>15</v>
      </c>
      <c r="AK31" s="91" t="s">
        <v>14</v>
      </c>
      <c r="AL31" s="90" t="s">
        <v>37</v>
      </c>
      <c r="AM31" s="90" t="s">
        <v>15</v>
      </c>
      <c r="AN31" s="91" t="s">
        <v>14</v>
      </c>
    </row>
    <row r="32" spans="1:40" s="194" customFormat="1" ht="15" thickBot="1" x14ac:dyDescent="0.35">
      <c r="A32" s="208"/>
      <c r="B32" s="48"/>
      <c r="C32" s="132"/>
      <c r="D32" s="186"/>
      <c r="E32" s="258"/>
      <c r="F32" s="133"/>
      <c r="G32" s="134"/>
      <c r="H32" s="135"/>
      <c r="I32" s="133"/>
      <c r="J32" s="134"/>
      <c r="K32" s="135"/>
      <c r="L32" s="133"/>
      <c r="M32" s="134"/>
      <c r="N32" s="135"/>
      <c r="O32" s="133"/>
      <c r="P32" s="134"/>
      <c r="Q32" s="135"/>
      <c r="R32" s="133"/>
      <c r="S32" s="134"/>
      <c r="T32" s="135"/>
      <c r="U32" s="133"/>
      <c r="V32" s="134"/>
      <c r="W32" s="135"/>
      <c r="X32" s="133"/>
      <c r="Y32" s="134"/>
      <c r="Z32" s="135"/>
      <c r="AA32" s="136"/>
      <c r="AB32" s="137"/>
      <c r="AC32" s="135"/>
      <c r="AD32" s="136"/>
      <c r="AE32" s="137"/>
      <c r="AF32" s="135"/>
      <c r="AG32" s="136"/>
      <c r="AH32" s="137"/>
      <c r="AI32" s="135"/>
      <c r="AJ32" s="136"/>
      <c r="AK32" s="137"/>
      <c r="AL32" s="135"/>
      <c r="AM32" s="136"/>
      <c r="AN32" s="137"/>
    </row>
    <row r="33" spans="1:40" s="194" customFormat="1" ht="15" thickBot="1" x14ac:dyDescent="0.35">
      <c r="A33" s="208"/>
      <c r="B33" s="48"/>
      <c r="C33" s="138"/>
      <c r="D33" s="186"/>
      <c r="E33" s="139"/>
      <c r="F33" s="140"/>
      <c r="G33" s="141"/>
      <c r="H33" s="142"/>
      <c r="I33" s="140"/>
      <c r="J33" s="141"/>
      <c r="K33" s="142"/>
      <c r="L33" s="140"/>
      <c r="M33" s="141"/>
      <c r="N33" s="142"/>
      <c r="O33" s="140"/>
      <c r="P33" s="141"/>
      <c r="Q33" s="142"/>
      <c r="R33" s="140"/>
      <c r="S33" s="141"/>
      <c r="T33" s="142"/>
      <c r="U33" s="140"/>
      <c r="V33" s="141"/>
      <c r="W33" s="142"/>
      <c r="X33" s="140"/>
      <c r="Y33" s="141"/>
      <c r="Z33" s="142"/>
      <c r="AA33" s="140"/>
      <c r="AB33" s="144"/>
      <c r="AC33" s="142"/>
      <c r="AD33" s="140"/>
      <c r="AE33" s="144"/>
      <c r="AF33" s="142"/>
      <c r="AG33" s="140"/>
      <c r="AH33" s="144"/>
      <c r="AI33" s="142"/>
      <c r="AJ33" s="140"/>
      <c r="AK33" s="144"/>
      <c r="AL33" s="142"/>
      <c r="AM33" s="140"/>
      <c r="AN33" s="144"/>
    </row>
    <row r="34" spans="1:40" s="194" customFormat="1" ht="15" thickBot="1" x14ac:dyDescent="0.35">
      <c r="A34" s="208"/>
      <c r="B34" s="48"/>
      <c r="C34" s="138"/>
      <c r="D34" s="186"/>
      <c r="E34" s="139"/>
      <c r="F34" s="140"/>
      <c r="G34" s="141"/>
      <c r="H34" s="142"/>
      <c r="I34" s="140"/>
      <c r="J34" s="141"/>
      <c r="K34" s="142"/>
      <c r="L34" s="140"/>
      <c r="M34" s="141"/>
      <c r="N34" s="142"/>
      <c r="O34" s="140"/>
      <c r="P34" s="141"/>
      <c r="Q34" s="142"/>
      <c r="R34" s="140"/>
      <c r="S34" s="141"/>
      <c r="T34" s="142"/>
      <c r="U34" s="140"/>
      <c r="V34" s="141"/>
      <c r="W34" s="142"/>
      <c r="X34" s="140"/>
      <c r="Y34" s="141"/>
      <c r="Z34" s="142"/>
      <c r="AA34" s="140"/>
      <c r="AB34" s="144"/>
      <c r="AC34" s="142"/>
      <c r="AD34" s="140"/>
      <c r="AE34" s="144"/>
      <c r="AF34" s="142"/>
      <c r="AG34" s="140"/>
      <c r="AH34" s="144"/>
      <c r="AI34" s="142"/>
      <c r="AJ34" s="140"/>
      <c r="AK34" s="144"/>
      <c r="AL34" s="142"/>
      <c r="AM34" s="140"/>
      <c r="AN34" s="144"/>
    </row>
    <row r="35" spans="1:40" s="194" customFormat="1" ht="24" customHeight="1" x14ac:dyDescent="0.3">
      <c r="A35" s="208"/>
      <c r="B35" s="286"/>
      <c r="C35" s="138"/>
      <c r="D35" s="186"/>
      <c r="E35" s="139"/>
      <c r="F35" s="140"/>
      <c r="G35" s="141"/>
      <c r="H35" s="142"/>
      <c r="I35" s="140"/>
      <c r="J35" s="141"/>
      <c r="K35" s="142"/>
      <c r="L35" s="140"/>
      <c r="M35" s="141"/>
      <c r="N35" s="142"/>
      <c r="O35" s="140"/>
      <c r="P35" s="141"/>
      <c r="Q35" s="142"/>
      <c r="R35" s="140"/>
      <c r="S35" s="141"/>
      <c r="T35" s="142"/>
      <c r="U35" s="140"/>
      <c r="V35" s="141"/>
      <c r="W35" s="142"/>
      <c r="X35" s="140"/>
      <c r="Y35" s="141"/>
      <c r="Z35" s="142"/>
      <c r="AA35" s="140"/>
      <c r="AB35" s="144"/>
      <c r="AC35" s="142"/>
      <c r="AD35" s="140"/>
      <c r="AE35" s="144"/>
      <c r="AF35" s="142"/>
      <c r="AG35" s="140"/>
      <c r="AH35" s="144"/>
      <c r="AI35" s="142"/>
      <c r="AJ35" s="140"/>
      <c r="AK35" s="144"/>
      <c r="AL35" s="142"/>
      <c r="AM35" s="140"/>
      <c r="AN35" s="144"/>
    </row>
    <row r="36" spans="1:40" s="194" customFormat="1" x14ac:dyDescent="0.3">
      <c r="A36" s="208"/>
      <c r="B36" s="286"/>
      <c r="C36" s="138"/>
      <c r="D36" s="186"/>
      <c r="E36" s="139"/>
      <c r="F36" s="140"/>
      <c r="G36" s="141"/>
      <c r="H36" s="142"/>
      <c r="I36" s="140"/>
      <c r="J36" s="141"/>
      <c r="K36" s="142"/>
      <c r="L36" s="140"/>
      <c r="M36" s="141"/>
      <c r="N36" s="142"/>
      <c r="O36" s="140"/>
      <c r="P36" s="141"/>
      <c r="Q36" s="142"/>
      <c r="R36" s="140"/>
      <c r="S36" s="141"/>
      <c r="T36" s="142"/>
      <c r="U36" s="140"/>
      <c r="V36" s="141"/>
      <c r="W36" s="142"/>
      <c r="X36" s="140"/>
      <c r="Y36" s="141"/>
      <c r="Z36" s="142"/>
      <c r="AA36" s="140"/>
      <c r="AB36" s="144"/>
      <c r="AC36" s="142"/>
      <c r="AD36" s="140"/>
      <c r="AE36" s="144"/>
      <c r="AF36" s="142"/>
      <c r="AG36" s="140"/>
      <c r="AH36" s="144"/>
      <c r="AI36" s="142"/>
      <c r="AJ36" s="140"/>
      <c r="AK36" s="144"/>
      <c r="AL36" s="142"/>
      <c r="AM36" s="140"/>
      <c r="AN36" s="144"/>
    </row>
    <row r="37" spans="1:40" s="194" customFormat="1" x14ac:dyDescent="0.3">
      <c r="A37" s="208"/>
      <c r="B37" s="286"/>
      <c r="C37" s="138"/>
      <c r="D37" s="186"/>
      <c r="E37" s="142"/>
      <c r="F37" s="140"/>
      <c r="G37" s="145"/>
      <c r="H37" s="142"/>
      <c r="I37" s="140"/>
      <c r="J37" s="141"/>
      <c r="K37" s="142"/>
      <c r="L37" s="140"/>
      <c r="M37" s="141"/>
      <c r="N37" s="142"/>
      <c r="O37" s="140"/>
      <c r="P37" s="141"/>
      <c r="Q37" s="142"/>
      <c r="R37" s="140"/>
      <c r="S37" s="144"/>
      <c r="T37" s="142"/>
      <c r="U37" s="140"/>
      <c r="V37" s="144"/>
      <c r="W37" s="142"/>
      <c r="X37" s="140"/>
      <c r="Y37" s="141"/>
      <c r="Z37" s="142"/>
      <c r="AA37" s="140"/>
      <c r="AB37" s="144"/>
      <c r="AC37" s="142"/>
      <c r="AD37" s="140"/>
      <c r="AE37" s="144"/>
      <c r="AF37" s="142"/>
      <c r="AG37" s="140"/>
      <c r="AH37" s="144"/>
      <c r="AI37" s="142"/>
      <c r="AJ37" s="140"/>
      <c r="AK37" s="144"/>
      <c r="AL37" s="142"/>
      <c r="AM37" s="140"/>
      <c r="AN37" s="144"/>
    </row>
    <row r="38" spans="1:40" s="194" customFormat="1" x14ac:dyDescent="0.3">
      <c r="A38" s="208"/>
      <c r="B38" s="287"/>
      <c r="C38" s="138"/>
      <c r="D38" s="143"/>
      <c r="E38" s="142"/>
      <c r="F38" s="140"/>
      <c r="G38" s="145"/>
      <c r="H38" s="142"/>
      <c r="I38" s="140"/>
      <c r="J38" s="141"/>
      <c r="K38" s="142"/>
      <c r="L38" s="140"/>
      <c r="M38" s="141"/>
      <c r="N38" s="142"/>
      <c r="O38" s="140"/>
      <c r="P38" s="141"/>
      <c r="Q38" s="142"/>
      <c r="R38" s="140"/>
      <c r="S38" s="141"/>
      <c r="T38" s="142"/>
      <c r="U38" s="140"/>
      <c r="V38" s="141"/>
      <c r="W38" s="142"/>
      <c r="X38" s="140"/>
      <c r="Y38" s="146"/>
      <c r="Z38" s="142"/>
      <c r="AA38" s="140"/>
      <c r="AB38" s="144"/>
      <c r="AC38" s="142"/>
      <c r="AD38" s="140"/>
      <c r="AE38" s="144"/>
      <c r="AF38" s="142"/>
      <c r="AG38" s="140"/>
      <c r="AH38" s="144"/>
      <c r="AI38" s="142"/>
      <c r="AJ38" s="140"/>
      <c r="AK38" s="144"/>
      <c r="AL38" s="142"/>
      <c r="AM38" s="140"/>
      <c r="AN38" s="144"/>
    </row>
    <row r="39" spans="1:40" s="194" customFormat="1" ht="32.25" customHeight="1" x14ac:dyDescent="0.3">
      <c r="A39" s="208"/>
      <c r="B39" s="286"/>
      <c r="C39" s="138"/>
      <c r="D39" s="143"/>
      <c r="E39" s="142"/>
      <c r="F39" s="140"/>
      <c r="G39" s="141"/>
      <c r="H39" s="142"/>
      <c r="I39" s="140"/>
      <c r="J39" s="141"/>
      <c r="K39" s="142"/>
      <c r="L39" s="140"/>
      <c r="M39" s="141"/>
      <c r="N39" s="142"/>
      <c r="O39" s="140"/>
      <c r="P39" s="141"/>
      <c r="Q39" s="142"/>
      <c r="R39" s="140"/>
      <c r="S39" s="141"/>
      <c r="T39" s="142"/>
      <c r="U39" s="140"/>
      <c r="V39" s="141"/>
      <c r="W39" s="142"/>
      <c r="X39" s="140"/>
      <c r="Y39" s="141"/>
      <c r="Z39" s="142"/>
      <c r="AA39" s="140"/>
      <c r="AB39" s="144"/>
      <c r="AC39" s="142"/>
      <c r="AD39" s="140"/>
      <c r="AE39" s="144"/>
      <c r="AF39" s="142"/>
      <c r="AG39" s="140"/>
      <c r="AH39" s="144"/>
      <c r="AI39" s="142"/>
      <c r="AJ39" s="140"/>
      <c r="AK39" s="144"/>
      <c r="AL39" s="142"/>
      <c r="AM39" s="140"/>
      <c r="AN39" s="144"/>
    </row>
    <row r="40" spans="1:40" s="194" customFormat="1" ht="28.5" customHeight="1" x14ac:dyDescent="0.3">
      <c r="A40" s="208"/>
      <c r="B40" s="286"/>
      <c r="C40" s="138"/>
      <c r="D40" s="143"/>
      <c r="E40" s="142"/>
      <c r="F40" s="140"/>
      <c r="G40" s="141"/>
      <c r="H40" s="142"/>
      <c r="I40" s="140"/>
      <c r="J40" s="141"/>
      <c r="K40" s="142"/>
      <c r="L40" s="140"/>
      <c r="M40" s="141"/>
      <c r="N40" s="142"/>
      <c r="O40" s="140"/>
      <c r="P40" s="141"/>
      <c r="Q40" s="142"/>
      <c r="R40" s="140"/>
      <c r="S40" s="141"/>
      <c r="T40" s="142"/>
      <c r="U40" s="140"/>
      <c r="V40" s="144"/>
      <c r="W40" s="142"/>
      <c r="X40" s="140"/>
      <c r="Y40" s="141"/>
      <c r="Z40" s="142"/>
      <c r="AA40" s="140"/>
      <c r="AB40" s="144"/>
      <c r="AC40" s="142"/>
      <c r="AD40" s="140"/>
      <c r="AE40" s="144"/>
      <c r="AF40" s="142"/>
      <c r="AG40" s="140"/>
      <c r="AH40" s="144"/>
      <c r="AI40" s="142"/>
      <c r="AJ40" s="140"/>
      <c r="AK40" s="144"/>
      <c r="AL40" s="142"/>
      <c r="AM40" s="140"/>
      <c r="AN40" s="144"/>
    </row>
    <row r="41" spans="1:40" s="194" customFormat="1" x14ac:dyDescent="0.3">
      <c r="A41" s="208"/>
      <c r="B41" s="286"/>
      <c r="C41" s="138"/>
      <c r="D41" s="143"/>
      <c r="E41" s="142"/>
      <c r="F41" s="140"/>
      <c r="G41" s="144"/>
      <c r="H41" s="142"/>
      <c r="I41" s="140"/>
      <c r="J41" s="141"/>
      <c r="K41" s="142"/>
      <c r="L41" s="140"/>
      <c r="M41" s="141"/>
      <c r="N41" s="142"/>
      <c r="O41" s="140"/>
      <c r="P41" s="141"/>
      <c r="Q41" s="142"/>
      <c r="R41" s="140"/>
      <c r="S41" s="141"/>
      <c r="T41" s="142"/>
      <c r="U41" s="140"/>
      <c r="V41" s="144"/>
      <c r="W41" s="142"/>
      <c r="X41" s="140"/>
      <c r="Y41" s="141"/>
      <c r="Z41" s="142"/>
      <c r="AA41" s="140"/>
      <c r="AB41" s="144"/>
      <c r="AC41" s="142"/>
      <c r="AD41" s="140"/>
      <c r="AE41" s="144"/>
      <c r="AF41" s="142"/>
      <c r="AG41" s="140"/>
      <c r="AH41" s="144"/>
      <c r="AI41" s="142"/>
      <c r="AJ41" s="140"/>
      <c r="AK41" s="144"/>
      <c r="AL41" s="142"/>
      <c r="AM41" s="140"/>
      <c r="AN41" s="144"/>
    </row>
    <row r="42" spans="1:40" s="194" customFormat="1" x14ac:dyDescent="0.3">
      <c r="A42" s="208"/>
      <c r="B42" s="288"/>
      <c r="C42" s="222"/>
      <c r="D42" s="143"/>
      <c r="E42" s="142"/>
      <c r="F42" s="140"/>
      <c r="G42" s="144"/>
      <c r="H42" s="142"/>
      <c r="I42" s="140"/>
      <c r="J42" s="141"/>
      <c r="K42" s="142"/>
      <c r="L42" s="140"/>
      <c r="M42" s="141"/>
      <c r="N42" s="142"/>
      <c r="O42" s="140"/>
      <c r="P42" s="141"/>
      <c r="Q42" s="142"/>
      <c r="R42" s="140"/>
      <c r="S42" s="141"/>
      <c r="T42" s="142"/>
      <c r="U42" s="140"/>
      <c r="V42" s="144"/>
      <c r="W42" s="142"/>
      <c r="X42" s="140"/>
      <c r="Y42" s="141"/>
      <c r="Z42" s="142"/>
      <c r="AA42" s="140"/>
      <c r="AB42" s="144"/>
      <c r="AC42" s="142"/>
      <c r="AD42" s="140"/>
      <c r="AE42" s="144"/>
      <c r="AF42" s="142"/>
      <c r="AG42" s="140"/>
      <c r="AH42" s="144"/>
      <c r="AI42" s="142"/>
      <c r="AJ42" s="140"/>
      <c r="AK42" s="144"/>
      <c r="AL42" s="142"/>
      <c r="AM42" s="140"/>
      <c r="AN42" s="144"/>
    </row>
    <row r="43" spans="1:40" s="194" customFormat="1" x14ac:dyDescent="0.3">
      <c r="A43" s="208"/>
      <c r="B43" s="286"/>
      <c r="C43" s="138"/>
      <c r="D43" s="143"/>
      <c r="E43" s="142"/>
      <c r="F43" s="140"/>
      <c r="G43" s="144"/>
      <c r="H43" s="142"/>
      <c r="I43" s="140"/>
      <c r="J43" s="141"/>
      <c r="K43" s="142"/>
      <c r="L43" s="140"/>
      <c r="M43" s="141"/>
      <c r="N43" s="142"/>
      <c r="O43" s="140"/>
      <c r="P43" s="141"/>
      <c r="Q43" s="142"/>
      <c r="R43" s="140"/>
      <c r="S43" s="141"/>
      <c r="T43" s="142"/>
      <c r="U43" s="140"/>
      <c r="V43" s="144"/>
      <c r="W43" s="142"/>
      <c r="X43" s="140"/>
      <c r="Y43" s="141"/>
      <c r="Z43" s="142"/>
      <c r="AA43" s="140"/>
      <c r="AB43" s="144"/>
      <c r="AC43" s="142"/>
      <c r="AD43" s="140"/>
      <c r="AE43" s="144"/>
      <c r="AF43" s="142"/>
      <c r="AG43" s="140"/>
      <c r="AH43" s="144"/>
      <c r="AI43" s="142"/>
      <c r="AJ43" s="140"/>
      <c r="AK43" s="144"/>
      <c r="AL43" s="142"/>
      <c r="AM43" s="140"/>
      <c r="AN43" s="144"/>
    </row>
    <row r="44" spans="1:40" s="194" customFormat="1" x14ac:dyDescent="0.3">
      <c r="A44" s="208"/>
      <c r="B44" s="286"/>
      <c r="C44" s="138"/>
      <c r="D44" s="143"/>
      <c r="E44" s="142"/>
      <c r="F44" s="140"/>
      <c r="G44" s="141"/>
      <c r="H44" s="142"/>
      <c r="I44" s="140"/>
      <c r="J44" s="141"/>
      <c r="K44" s="142"/>
      <c r="L44" s="140"/>
      <c r="M44" s="141"/>
      <c r="N44" s="142"/>
      <c r="O44" s="140"/>
      <c r="P44" s="141"/>
      <c r="Q44" s="142"/>
      <c r="R44" s="140"/>
      <c r="S44" s="141"/>
      <c r="T44" s="142"/>
      <c r="U44" s="140"/>
      <c r="V44" s="144"/>
      <c r="W44" s="142"/>
      <c r="X44" s="140"/>
      <c r="Y44" s="145"/>
      <c r="Z44" s="142"/>
      <c r="AA44" s="140"/>
      <c r="AB44" s="144"/>
      <c r="AC44" s="142"/>
      <c r="AD44" s="140"/>
      <c r="AE44" s="144"/>
      <c r="AF44" s="142"/>
      <c r="AG44" s="140"/>
      <c r="AH44" s="144"/>
      <c r="AI44" s="142"/>
      <c r="AJ44" s="140"/>
      <c r="AK44" s="144"/>
      <c r="AL44" s="142"/>
      <c r="AM44" s="140"/>
      <c r="AN44" s="144"/>
    </row>
    <row r="45" spans="1:40" s="194" customFormat="1" x14ac:dyDescent="0.3">
      <c r="A45" s="208"/>
      <c r="B45" s="286"/>
      <c r="C45" s="138"/>
      <c r="D45" s="143"/>
      <c r="E45" s="142"/>
      <c r="F45" s="140"/>
      <c r="G45" s="144"/>
      <c r="H45" s="142"/>
      <c r="I45" s="140"/>
      <c r="J45" s="141"/>
      <c r="K45" s="142"/>
      <c r="L45" s="140"/>
      <c r="M45" s="141"/>
      <c r="N45" s="142"/>
      <c r="O45" s="140"/>
      <c r="P45" s="141"/>
      <c r="Q45" s="142"/>
      <c r="R45" s="140"/>
      <c r="S45" s="141"/>
      <c r="T45" s="142"/>
      <c r="U45" s="140"/>
      <c r="V45" s="144"/>
      <c r="W45" s="142"/>
      <c r="X45" s="140"/>
      <c r="Y45" s="141"/>
      <c r="Z45" s="142"/>
      <c r="AA45" s="140"/>
      <c r="AB45" s="144"/>
      <c r="AC45" s="142"/>
      <c r="AD45" s="140"/>
      <c r="AE45" s="144"/>
      <c r="AF45" s="142"/>
      <c r="AG45" s="140"/>
      <c r="AH45" s="144"/>
      <c r="AI45" s="142"/>
      <c r="AJ45" s="140"/>
      <c r="AK45" s="144"/>
      <c r="AL45" s="142"/>
      <c r="AM45" s="140"/>
      <c r="AN45" s="144"/>
    </row>
    <row r="46" spans="1:40" s="194" customFormat="1" x14ac:dyDescent="0.3">
      <c r="A46" s="208"/>
      <c r="B46" s="286"/>
      <c r="C46" s="138"/>
      <c r="D46" s="143"/>
      <c r="E46" s="142"/>
      <c r="F46" s="140"/>
      <c r="G46" s="144"/>
      <c r="H46" s="142"/>
      <c r="I46" s="140"/>
      <c r="J46" s="144"/>
      <c r="K46" s="142"/>
      <c r="L46" s="140"/>
      <c r="M46" s="144"/>
      <c r="N46" s="142"/>
      <c r="O46" s="140"/>
      <c r="P46" s="144"/>
      <c r="Q46" s="142"/>
      <c r="R46" s="140"/>
      <c r="S46" s="144"/>
      <c r="T46" s="142"/>
      <c r="U46" s="140"/>
      <c r="V46" s="144"/>
      <c r="W46" s="142"/>
      <c r="X46" s="140"/>
      <c r="Y46" s="141"/>
      <c r="Z46" s="142"/>
      <c r="AA46" s="140"/>
      <c r="AB46" s="144"/>
      <c r="AC46" s="142"/>
      <c r="AD46" s="140"/>
      <c r="AE46" s="144"/>
      <c r="AF46" s="142"/>
      <c r="AG46" s="140"/>
      <c r="AH46" s="144"/>
      <c r="AI46" s="142"/>
      <c r="AJ46" s="140"/>
      <c r="AK46" s="144"/>
      <c r="AL46" s="142"/>
      <c r="AM46" s="140"/>
      <c r="AN46" s="144"/>
    </row>
    <row r="47" spans="1:40" s="194" customFormat="1" x14ac:dyDescent="0.3">
      <c r="A47" s="208"/>
      <c r="B47" s="286"/>
      <c r="C47" s="138"/>
      <c r="D47" s="143"/>
      <c r="E47" s="142"/>
      <c r="F47" s="140"/>
      <c r="G47" s="144"/>
      <c r="H47" s="142"/>
      <c r="I47" s="140"/>
      <c r="J47" s="144"/>
      <c r="K47" s="142"/>
      <c r="L47" s="140"/>
      <c r="M47" s="141"/>
      <c r="N47" s="142"/>
      <c r="O47" s="140"/>
      <c r="P47" s="141"/>
      <c r="Q47" s="142"/>
      <c r="R47" s="140"/>
      <c r="S47" s="144"/>
      <c r="T47" s="142"/>
      <c r="U47" s="140"/>
      <c r="V47" s="144"/>
      <c r="W47" s="142"/>
      <c r="X47" s="140"/>
      <c r="Y47" s="141"/>
      <c r="Z47" s="142"/>
      <c r="AA47" s="140"/>
      <c r="AB47" s="144"/>
      <c r="AC47" s="142"/>
      <c r="AD47" s="140"/>
      <c r="AE47" s="144"/>
      <c r="AF47" s="142"/>
      <c r="AG47" s="140"/>
      <c r="AH47" s="144"/>
      <c r="AI47" s="142"/>
      <c r="AJ47" s="140"/>
      <c r="AK47" s="144"/>
      <c r="AL47" s="142"/>
      <c r="AM47" s="140"/>
      <c r="AN47" s="144"/>
    </row>
    <row r="48" spans="1:40" s="194" customFormat="1" ht="25.5" customHeight="1" thickBot="1" x14ac:dyDescent="0.35">
      <c r="A48" s="208"/>
      <c r="B48" s="289"/>
      <c r="C48" s="147"/>
      <c r="D48" s="148"/>
      <c r="E48" s="149"/>
      <c r="F48" s="150"/>
      <c r="G48" s="151"/>
      <c r="H48" s="149"/>
      <c r="I48" s="150"/>
      <c r="J48" s="152"/>
      <c r="K48" s="149"/>
      <c r="L48" s="150"/>
      <c r="M48" s="152"/>
      <c r="N48" s="149"/>
      <c r="O48" s="150"/>
      <c r="P48" s="152"/>
      <c r="Q48" s="149"/>
      <c r="R48" s="150"/>
      <c r="S48" s="151"/>
      <c r="T48" s="149"/>
      <c r="U48" s="150"/>
      <c r="V48" s="152"/>
      <c r="W48" s="149"/>
      <c r="X48" s="150"/>
      <c r="Y48" s="152"/>
      <c r="Z48" s="149"/>
      <c r="AA48" s="150"/>
      <c r="AB48" s="151"/>
      <c r="AC48" s="149"/>
      <c r="AD48" s="150"/>
      <c r="AE48" s="151"/>
      <c r="AF48" s="149"/>
      <c r="AG48" s="150"/>
      <c r="AH48" s="151"/>
      <c r="AI48" s="149"/>
      <c r="AJ48" s="150"/>
      <c r="AK48" s="151"/>
      <c r="AL48" s="149"/>
      <c r="AM48" s="150"/>
      <c r="AN48" s="151"/>
    </row>
  </sheetData>
  <mergeCells count="21">
    <mergeCell ref="S1:U1"/>
    <mergeCell ref="F2:Q2"/>
    <mergeCell ref="S2:U2"/>
    <mergeCell ref="F3:Q3"/>
    <mergeCell ref="S3:U3"/>
    <mergeCell ref="F1:Q1"/>
    <mergeCell ref="S4:U4"/>
    <mergeCell ref="F4:Q4"/>
    <mergeCell ref="B29:AN29"/>
    <mergeCell ref="E30:G30"/>
    <mergeCell ref="H30:J30"/>
    <mergeCell ref="K30:M30"/>
    <mergeCell ref="N30:P30"/>
    <mergeCell ref="Q30:S30"/>
    <mergeCell ref="AI30:AK30"/>
    <mergeCell ref="AL30:AN30"/>
    <mergeCell ref="T30:V30"/>
    <mergeCell ref="W30:Y30"/>
    <mergeCell ref="Z30:AB30"/>
    <mergeCell ref="AC30:AE30"/>
    <mergeCell ref="AF30:AH30"/>
  </mergeCells>
  <conditionalFormatting sqref="F8:T24">
    <cfRule type="notContainsBlanks" dxfId="5" priority="1">
      <formula>LEN(TRIM(F8))&gt;0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48"/>
  <sheetViews>
    <sheetView zoomScale="80" zoomScaleNormal="80" workbookViewId="0">
      <selection activeCell="J39" sqref="J39"/>
    </sheetView>
  </sheetViews>
  <sheetFormatPr baseColWidth="10" defaultColWidth="11.44140625" defaultRowHeight="14.4" x14ac:dyDescent="0.3"/>
  <cols>
    <col min="2" max="2" width="3.21875" bestFit="1" customWidth="1"/>
    <col min="3" max="3" width="15.33203125" bestFit="1" customWidth="1"/>
    <col min="4" max="4" width="25.77734375" bestFit="1" customWidth="1"/>
    <col min="5" max="5" width="16.5546875" bestFit="1" customWidth="1"/>
    <col min="6" max="6" width="12" bestFit="1" customWidth="1"/>
    <col min="7" max="7" width="9" bestFit="1" customWidth="1"/>
    <col min="8" max="8" width="11.44140625" bestFit="1" customWidth="1"/>
    <col min="9" max="9" width="11.88671875" bestFit="1" customWidth="1"/>
    <col min="10" max="10" width="12.33203125" bestFit="1" customWidth="1"/>
    <col min="11" max="11" width="11.44140625" bestFit="1" customWidth="1"/>
    <col min="12" max="13" width="11.88671875" bestFit="1" customWidth="1"/>
    <col min="14" max="14" width="12.33203125" bestFit="1" customWidth="1"/>
    <col min="15" max="16" width="11.88671875" bestFit="1" customWidth="1"/>
    <col min="17" max="17" width="12.33203125" bestFit="1" customWidth="1"/>
    <col min="18" max="19" width="11.88671875" bestFit="1" customWidth="1"/>
    <col min="20" max="20" width="12.33203125" bestFit="1" customWidth="1"/>
    <col min="21" max="21" width="11.88671875" bestFit="1" customWidth="1"/>
    <col min="22" max="22" width="7" bestFit="1" customWidth="1"/>
    <col min="23" max="23" width="11.44140625" bestFit="1" customWidth="1"/>
    <col min="24" max="24" width="11.88671875" bestFit="1" customWidth="1"/>
    <col min="25" max="25" width="7" bestFit="1" customWidth="1"/>
    <col min="27" max="27" width="11.88671875" bestFit="1" customWidth="1"/>
    <col min="28" max="28" width="9.5546875" bestFit="1" customWidth="1"/>
    <col min="30" max="30" width="11.88671875" bestFit="1" customWidth="1"/>
    <col min="31" max="31" width="9.5546875" bestFit="1" customWidth="1"/>
    <col min="33" max="33" width="11.88671875" bestFit="1" customWidth="1"/>
    <col min="34" max="34" width="9.5546875" bestFit="1" customWidth="1"/>
    <col min="36" max="36" width="11.88671875" bestFit="1" customWidth="1"/>
    <col min="37" max="37" width="9.5546875" bestFit="1" customWidth="1"/>
    <col min="39" max="39" width="11.88671875" bestFit="1" customWidth="1"/>
    <col min="40" max="40" width="9.5546875" bestFit="1" customWidth="1"/>
  </cols>
  <sheetData>
    <row r="1" spans="1:24" ht="37.200000000000003" thickBot="1" x14ac:dyDescent="0.35">
      <c r="E1" s="1"/>
      <c r="F1" s="1354" t="s">
        <v>0</v>
      </c>
      <c r="G1" s="1354"/>
      <c r="H1" s="1354"/>
      <c r="I1" s="1354"/>
      <c r="J1" s="1354"/>
      <c r="K1" s="1354"/>
      <c r="L1" s="1354"/>
      <c r="M1" s="1354"/>
      <c r="N1" s="1354"/>
      <c r="O1" s="1354"/>
      <c r="P1" s="1354"/>
      <c r="Q1" s="1354"/>
      <c r="R1" s="4"/>
      <c r="S1" s="1345" t="s">
        <v>1</v>
      </c>
      <c r="T1" s="1345"/>
      <c r="U1" s="1346"/>
    </row>
    <row r="2" spans="1:24" ht="18.600000000000001" thickBot="1" x14ac:dyDescent="0.35">
      <c r="E2" s="2"/>
      <c r="F2" s="1355" t="s">
        <v>2</v>
      </c>
      <c r="G2" s="1355"/>
      <c r="H2" s="1355"/>
      <c r="I2" s="1355"/>
      <c r="J2" s="1355"/>
      <c r="K2" s="1355"/>
      <c r="L2" s="1355"/>
      <c r="M2" s="1355"/>
      <c r="N2" s="1355"/>
      <c r="O2" s="1355"/>
      <c r="P2" s="1355"/>
      <c r="Q2" s="1355"/>
      <c r="R2" s="5"/>
      <c r="S2" s="1345" t="s">
        <v>3</v>
      </c>
      <c r="T2" s="1345"/>
      <c r="U2" s="1346"/>
    </row>
    <row r="3" spans="1:24" ht="16.8" thickBot="1" x14ac:dyDescent="0.35">
      <c r="E3" s="3"/>
      <c r="F3" s="1344" t="s">
        <v>4</v>
      </c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Q3" s="1344"/>
      <c r="R3" s="6"/>
      <c r="S3" s="1345" t="s">
        <v>5</v>
      </c>
      <c r="T3" s="1345"/>
      <c r="U3" s="1346"/>
    </row>
    <row r="4" spans="1:24" ht="16.8" thickBot="1" x14ac:dyDescent="0.35">
      <c r="C4" s="8"/>
      <c r="D4" s="9" t="s">
        <v>6</v>
      </c>
      <c r="F4" s="1344" t="s">
        <v>39</v>
      </c>
      <c r="G4" s="1344"/>
      <c r="H4" s="1344"/>
      <c r="I4" s="1344"/>
      <c r="J4" s="1344"/>
      <c r="K4" s="1344"/>
      <c r="L4" s="1344"/>
      <c r="M4" s="1344"/>
      <c r="N4" s="1344"/>
      <c r="O4" s="1344"/>
      <c r="P4" s="1344"/>
      <c r="Q4" s="1344"/>
      <c r="R4" s="32"/>
      <c r="S4" s="1345" t="s">
        <v>7</v>
      </c>
      <c r="T4" s="1345"/>
      <c r="U4" s="1346"/>
    </row>
    <row r="6" spans="1:24" ht="15" thickBot="1" x14ac:dyDescent="0.35"/>
    <row r="7" spans="1:24" ht="15" thickBot="1" x14ac:dyDescent="0.35">
      <c r="B7" s="10" t="s">
        <v>9</v>
      </c>
      <c r="C7" s="11" t="s">
        <v>10</v>
      </c>
      <c r="D7" s="12" t="s">
        <v>11</v>
      </c>
      <c r="E7" s="14" t="s">
        <v>12</v>
      </c>
      <c r="F7" s="15" t="s">
        <v>13</v>
      </c>
      <c r="G7" s="15" t="s">
        <v>14</v>
      </c>
      <c r="H7" s="16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29" t="s">
        <v>20</v>
      </c>
      <c r="V7" s="30" t="s">
        <v>21</v>
      </c>
      <c r="W7" s="31" t="s">
        <v>22</v>
      </c>
      <c r="X7" s="31" t="s">
        <v>38</v>
      </c>
    </row>
    <row r="8" spans="1:24" s="194" customFormat="1" ht="15" thickBot="1" x14ac:dyDescent="0.35">
      <c r="A8" s="208"/>
      <c r="B8" s="48"/>
      <c r="C8" s="103"/>
      <c r="D8" s="104"/>
      <c r="E8" s="105"/>
      <c r="F8" s="1425"/>
      <c r="G8" s="1426"/>
      <c r="H8" s="1427"/>
      <c r="I8" s="107"/>
      <c r="J8" s="108"/>
      <c r="K8" s="109"/>
      <c r="L8" s="107"/>
      <c r="M8" s="108"/>
      <c r="N8" s="109"/>
      <c r="O8" s="107"/>
      <c r="P8" s="108"/>
      <c r="Q8" s="109"/>
      <c r="R8" s="107"/>
      <c r="S8" s="108"/>
      <c r="T8" s="109"/>
      <c r="U8" s="110"/>
      <c r="V8" s="111"/>
      <c r="W8" s="106"/>
      <c r="X8" s="112"/>
    </row>
    <row r="9" spans="1:24" s="194" customFormat="1" ht="15" thickBot="1" x14ac:dyDescent="0.35">
      <c r="A9" s="208"/>
      <c r="B9" s="48"/>
      <c r="C9" s="103"/>
      <c r="D9" s="104"/>
      <c r="E9" s="105"/>
      <c r="F9" s="1428"/>
      <c r="G9" s="1429"/>
      <c r="H9" s="1430"/>
      <c r="I9" s="107"/>
      <c r="J9" s="108"/>
      <c r="K9" s="109"/>
      <c r="L9" s="107"/>
      <c r="M9" s="108"/>
      <c r="N9" s="109"/>
      <c r="O9" s="107"/>
      <c r="P9" s="108"/>
      <c r="Q9" s="109"/>
      <c r="R9" s="107"/>
      <c r="S9" s="108"/>
      <c r="T9" s="109"/>
      <c r="U9" s="110"/>
      <c r="V9" s="111"/>
      <c r="W9" s="106"/>
      <c r="X9" s="112"/>
    </row>
    <row r="10" spans="1:24" s="194" customFormat="1" ht="15" thickBot="1" x14ac:dyDescent="0.35">
      <c r="A10" s="208"/>
      <c r="B10" s="48"/>
      <c r="C10" s="103"/>
      <c r="D10" s="104"/>
      <c r="E10" s="105"/>
      <c r="F10" s="1419"/>
      <c r="G10" s="1420"/>
      <c r="H10" s="1421"/>
      <c r="I10" s="107"/>
      <c r="J10" s="108"/>
      <c r="K10" s="232"/>
      <c r="L10" s="107"/>
      <c r="M10" s="108"/>
      <c r="N10" s="232"/>
      <c r="O10" s="107"/>
      <c r="P10" s="108"/>
      <c r="Q10" s="109"/>
      <c r="R10" s="107"/>
      <c r="S10" s="108"/>
      <c r="T10" s="232"/>
      <c r="U10" s="110"/>
      <c r="V10" s="111"/>
      <c r="W10" s="106"/>
      <c r="X10" s="112"/>
    </row>
    <row r="11" spans="1:24" s="194" customFormat="1" ht="13.8" x14ac:dyDescent="0.25">
      <c r="A11" s="208"/>
      <c r="B11" s="299"/>
      <c r="C11" s="103"/>
      <c r="D11" s="104"/>
      <c r="E11" s="105"/>
      <c r="F11" s="1419"/>
      <c r="G11" s="1420"/>
      <c r="H11" s="1421"/>
      <c r="I11" s="107"/>
      <c r="J11" s="108"/>
      <c r="K11" s="232"/>
      <c r="L11" s="107"/>
      <c r="M11" s="108"/>
      <c r="N11" s="109"/>
      <c r="O11" s="107"/>
      <c r="P11" s="108"/>
      <c r="Q11" s="109"/>
      <c r="R11" s="107"/>
      <c r="S11" s="108"/>
      <c r="T11" s="109"/>
      <c r="U11" s="110"/>
      <c r="V11" s="111"/>
      <c r="W11" s="106"/>
      <c r="X11" s="112"/>
    </row>
    <row r="12" spans="1:24" s="194" customFormat="1" ht="13.8" x14ac:dyDescent="0.25">
      <c r="A12" s="208"/>
      <c r="B12" s="299"/>
      <c r="C12" s="103"/>
      <c r="D12" s="104"/>
      <c r="E12" s="105"/>
      <c r="F12" s="1419"/>
      <c r="G12" s="1420"/>
      <c r="H12" s="1421"/>
      <c r="I12" s="107"/>
      <c r="J12" s="108"/>
      <c r="K12" s="232"/>
      <c r="L12" s="107"/>
      <c r="M12" s="108"/>
      <c r="N12" s="232"/>
      <c r="O12" s="107"/>
      <c r="P12" s="108"/>
      <c r="Q12" s="109"/>
      <c r="R12" s="107"/>
      <c r="S12" s="108"/>
      <c r="T12" s="109"/>
      <c r="U12" s="110"/>
      <c r="V12" s="111"/>
      <c r="W12" s="106"/>
      <c r="X12" s="112"/>
    </row>
    <row r="13" spans="1:24" s="194" customFormat="1" ht="13.8" x14ac:dyDescent="0.25">
      <c r="A13" s="208"/>
      <c r="B13" s="299"/>
      <c r="C13" s="103"/>
      <c r="D13" s="104"/>
      <c r="E13" s="105"/>
      <c r="F13" s="1419"/>
      <c r="G13" s="1420"/>
      <c r="H13" s="1421"/>
      <c r="I13" s="107"/>
      <c r="J13" s="108"/>
      <c r="K13" s="109"/>
      <c r="L13" s="107"/>
      <c r="M13" s="108"/>
      <c r="N13" s="109"/>
      <c r="O13" s="107"/>
      <c r="P13" s="108"/>
      <c r="Q13" s="109"/>
      <c r="R13" s="107"/>
      <c r="S13" s="108"/>
      <c r="T13" s="109"/>
      <c r="U13" s="110"/>
      <c r="V13" s="111"/>
      <c r="W13" s="106"/>
      <c r="X13" s="112"/>
    </row>
    <row r="14" spans="1:24" s="194" customFormat="1" ht="13.8" x14ac:dyDescent="0.25">
      <c r="A14" s="208"/>
      <c r="B14" s="299"/>
      <c r="C14" s="103"/>
      <c r="D14" s="104"/>
      <c r="E14" s="105"/>
      <c r="F14" s="1410"/>
      <c r="G14" s="1411"/>
      <c r="H14" s="1412"/>
      <c r="I14" s="107"/>
      <c r="J14" s="108"/>
      <c r="K14" s="109"/>
      <c r="L14" s="107"/>
      <c r="M14" s="108"/>
      <c r="N14" s="109"/>
      <c r="O14" s="107"/>
      <c r="P14" s="108"/>
      <c r="Q14" s="109"/>
      <c r="R14" s="107"/>
      <c r="S14" s="108"/>
      <c r="T14" s="109"/>
      <c r="U14" s="110"/>
      <c r="V14" s="113"/>
      <c r="W14" s="106"/>
      <c r="X14" s="112"/>
    </row>
    <row r="15" spans="1:24" s="194" customFormat="1" ht="13.8" x14ac:dyDescent="0.25">
      <c r="A15" s="208"/>
      <c r="B15" s="290"/>
      <c r="C15" s="103"/>
      <c r="D15" s="104"/>
      <c r="E15" s="105"/>
      <c r="F15" s="1422"/>
      <c r="G15" s="1423"/>
      <c r="H15" s="1424"/>
      <c r="I15" s="107"/>
      <c r="J15" s="108"/>
      <c r="K15" s="109"/>
      <c r="L15" s="107"/>
      <c r="M15" s="108"/>
      <c r="N15" s="109"/>
      <c r="O15" s="107"/>
      <c r="P15" s="108"/>
      <c r="Q15" s="109"/>
      <c r="R15" s="107"/>
      <c r="S15" s="108"/>
      <c r="T15" s="109"/>
      <c r="U15" s="110"/>
      <c r="V15" s="111"/>
      <c r="W15" s="106"/>
      <c r="X15" s="112"/>
    </row>
    <row r="16" spans="1:24" s="194" customFormat="1" ht="13.8" x14ac:dyDescent="0.25">
      <c r="A16" s="208"/>
      <c r="B16" s="290"/>
      <c r="C16" s="103"/>
      <c r="D16" s="104"/>
      <c r="E16" s="105"/>
      <c r="F16" s="1410"/>
      <c r="G16" s="1411"/>
      <c r="H16" s="1412"/>
      <c r="I16" s="107"/>
      <c r="J16" s="108"/>
      <c r="K16" s="109"/>
      <c r="L16" s="107"/>
      <c r="M16" s="108"/>
      <c r="N16" s="109"/>
      <c r="O16" s="107"/>
      <c r="P16" s="108"/>
      <c r="Q16" s="109"/>
      <c r="R16" s="107"/>
      <c r="S16" s="108"/>
      <c r="T16" s="109"/>
      <c r="U16" s="110"/>
      <c r="V16" s="113"/>
      <c r="W16" s="106"/>
      <c r="X16" s="112"/>
    </row>
    <row r="17" spans="1:40" s="194" customFormat="1" ht="13.8" x14ac:dyDescent="0.25">
      <c r="A17" s="208"/>
      <c r="B17" s="290"/>
      <c r="C17" s="103"/>
      <c r="D17" s="104"/>
      <c r="E17" s="105"/>
      <c r="F17" s="1410"/>
      <c r="G17" s="1411"/>
      <c r="H17" s="1412"/>
      <c r="I17" s="107"/>
      <c r="J17" s="110"/>
      <c r="K17" s="109"/>
      <c r="L17" s="107"/>
      <c r="M17" s="108"/>
      <c r="N17" s="109"/>
      <c r="O17" s="107"/>
      <c r="P17" s="108"/>
      <c r="Q17" s="109"/>
      <c r="R17" s="107"/>
      <c r="S17" s="108"/>
      <c r="T17" s="109"/>
      <c r="U17" s="110"/>
      <c r="V17" s="113"/>
      <c r="W17" s="106"/>
      <c r="X17" s="112"/>
    </row>
    <row r="18" spans="1:40" s="196" customFormat="1" ht="13.8" x14ac:dyDescent="0.25">
      <c r="A18" s="189"/>
      <c r="B18" s="290"/>
      <c r="C18" s="223"/>
      <c r="D18" s="104"/>
      <c r="E18" s="105"/>
      <c r="F18" s="1416"/>
      <c r="G18" s="1417"/>
      <c r="H18" s="1418"/>
      <c r="I18" s="114"/>
      <c r="J18" s="117"/>
      <c r="K18" s="116"/>
      <c r="L18" s="114"/>
      <c r="M18" s="115"/>
      <c r="N18" s="116"/>
      <c r="O18" s="114"/>
      <c r="P18" s="117"/>
      <c r="Q18" s="116"/>
      <c r="R18" s="114"/>
      <c r="S18" s="117"/>
      <c r="T18" s="116"/>
      <c r="U18" s="117"/>
      <c r="V18" s="117"/>
      <c r="W18" s="118"/>
      <c r="X18" s="119"/>
    </row>
    <row r="19" spans="1:40" s="194" customFormat="1" ht="13.8" x14ac:dyDescent="0.25">
      <c r="A19" s="208"/>
      <c r="B19" s="290"/>
      <c r="C19" s="103"/>
      <c r="D19" s="104"/>
      <c r="E19" s="105"/>
      <c r="F19" s="1410"/>
      <c r="G19" s="1411"/>
      <c r="H19" s="1412"/>
      <c r="I19" s="107"/>
      <c r="J19" s="108"/>
      <c r="K19" s="109"/>
      <c r="L19" s="107"/>
      <c r="M19" s="108"/>
      <c r="N19" s="109"/>
      <c r="O19" s="107"/>
      <c r="P19" s="108"/>
      <c r="Q19" s="109"/>
      <c r="R19" s="107"/>
      <c r="S19" s="108"/>
      <c r="T19" s="109"/>
      <c r="U19" s="110"/>
      <c r="V19" s="113"/>
      <c r="W19" s="106"/>
      <c r="X19" s="112"/>
    </row>
    <row r="20" spans="1:40" s="194" customFormat="1" ht="13.8" x14ac:dyDescent="0.25">
      <c r="A20" s="208"/>
      <c r="B20" s="290"/>
      <c r="C20" s="103"/>
      <c r="D20" s="104"/>
      <c r="E20" s="105"/>
      <c r="F20" s="1410"/>
      <c r="G20" s="1411"/>
      <c r="H20" s="1412"/>
      <c r="I20" s="107"/>
      <c r="J20" s="108"/>
      <c r="K20" s="109"/>
      <c r="L20" s="107"/>
      <c r="M20" s="108"/>
      <c r="N20" s="109"/>
      <c r="O20" s="107"/>
      <c r="P20" s="108"/>
      <c r="Q20" s="109"/>
      <c r="R20" s="107"/>
      <c r="S20" s="120"/>
      <c r="T20" s="121"/>
      <c r="U20" s="110"/>
      <c r="V20" s="113"/>
      <c r="W20" s="106"/>
      <c r="X20" s="112"/>
    </row>
    <row r="21" spans="1:40" s="194" customFormat="1" ht="13.8" x14ac:dyDescent="0.25">
      <c r="A21" s="208"/>
      <c r="B21" s="290">
        <v>14</v>
      </c>
      <c r="C21" s="103"/>
      <c r="D21" s="104"/>
      <c r="E21" s="105"/>
      <c r="F21" s="1410"/>
      <c r="G21" s="1411"/>
      <c r="H21" s="1412"/>
      <c r="I21" s="107"/>
      <c r="J21" s="108"/>
      <c r="K21" s="109"/>
      <c r="L21" s="107"/>
      <c r="M21" s="108"/>
      <c r="N21" s="109"/>
      <c r="O21" s="107"/>
      <c r="P21" s="108"/>
      <c r="Q21" s="109"/>
      <c r="R21" s="107"/>
      <c r="S21" s="110"/>
      <c r="T21" s="109"/>
      <c r="U21" s="110"/>
      <c r="V21" s="113"/>
      <c r="W21" s="106"/>
      <c r="X21" s="112"/>
    </row>
    <row r="22" spans="1:40" s="194" customFormat="1" ht="13.8" x14ac:dyDescent="0.25">
      <c r="A22" s="208"/>
      <c r="B22" s="290">
        <v>15</v>
      </c>
      <c r="C22" s="103"/>
      <c r="D22" s="104"/>
      <c r="E22" s="105"/>
      <c r="F22" s="1410"/>
      <c r="G22" s="1411"/>
      <c r="H22" s="1412"/>
      <c r="I22" s="107"/>
      <c r="J22" s="108"/>
      <c r="K22" s="109"/>
      <c r="L22" s="107"/>
      <c r="M22" s="108"/>
      <c r="N22" s="109"/>
      <c r="O22" s="107"/>
      <c r="P22" s="108"/>
      <c r="Q22" s="109"/>
      <c r="R22" s="107"/>
      <c r="S22" s="110"/>
      <c r="T22" s="109"/>
      <c r="U22" s="110"/>
      <c r="V22" s="111"/>
      <c r="W22" s="106"/>
      <c r="X22" s="112"/>
    </row>
    <row r="23" spans="1:40" s="194" customFormat="1" ht="13.8" x14ac:dyDescent="0.25">
      <c r="A23" s="208"/>
      <c r="B23" s="290">
        <v>16</v>
      </c>
      <c r="C23" s="103"/>
      <c r="D23" s="104"/>
      <c r="E23" s="105"/>
      <c r="F23" s="1410"/>
      <c r="G23" s="1411"/>
      <c r="H23" s="1412"/>
      <c r="I23" s="107"/>
      <c r="J23" s="108"/>
      <c r="K23" s="109"/>
      <c r="L23" s="107"/>
      <c r="M23" s="108"/>
      <c r="N23" s="109"/>
      <c r="O23" s="107"/>
      <c r="P23" s="108"/>
      <c r="Q23" s="109"/>
      <c r="R23" s="107"/>
      <c r="S23" s="108"/>
      <c r="T23" s="109"/>
      <c r="U23" s="110"/>
      <c r="V23" s="111"/>
      <c r="W23" s="106"/>
      <c r="X23" s="112"/>
    </row>
    <row r="24" spans="1:40" s="194" customFormat="1" thickBot="1" x14ac:dyDescent="0.3">
      <c r="A24" s="208"/>
      <c r="B24" s="290">
        <v>17</v>
      </c>
      <c r="C24" s="122"/>
      <c r="D24" s="123"/>
      <c r="E24" s="124"/>
      <c r="F24" s="1413"/>
      <c r="G24" s="1414"/>
      <c r="H24" s="1415"/>
      <c r="I24" s="127"/>
      <c r="J24" s="126"/>
      <c r="K24" s="128"/>
      <c r="L24" s="127"/>
      <c r="M24" s="126"/>
      <c r="N24" s="128"/>
      <c r="O24" s="127"/>
      <c r="P24" s="126"/>
      <c r="Q24" s="128"/>
      <c r="R24" s="127"/>
      <c r="S24" s="126"/>
      <c r="T24" s="128"/>
      <c r="U24" s="125"/>
      <c r="V24" s="129"/>
      <c r="W24" s="130"/>
      <c r="X24" s="131"/>
    </row>
    <row r="28" spans="1:40" ht="15" thickBot="1" x14ac:dyDescent="0.35"/>
    <row r="29" spans="1:40" ht="18" thickBot="1" x14ac:dyDescent="0.35">
      <c r="B29" s="1351" t="s">
        <v>24</v>
      </c>
      <c r="C29" s="1352"/>
      <c r="D29" s="1352"/>
      <c r="E29" s="1352"/>
      <c r="F29" s="1352"/>
      <c r="G29" s="1352"/>
      <c r="H29" s="1352"/>
      <c r="I29" s="1352"/>
      <c r="J29" s="1352"/>
      <c r="K29" s="1352"/>
      <c r="L29" s="1352"/>
      <c r="M29" s="1352"/>
      <c r="N29" s="1352"/>
      <c r="O29" s="1352"/>
      <c r="P29" s="1352"/>
      <c r="Q29" s="1352"/>
      <c r="R29" s="1352"/>
      <c r="S29" s="1352"/>
      <c r="T29" s="1352"/>
      <c r="U29" s="1352"/>
      <c r="V29" s="1352"/>
      <c r="W29" s="1352"/>
      <c r="X29" s="1352"/>
      <c r="Y29" s="1352"/>
      <c r="Z29" s="1352"/>
      <c r="AA29" s="1352"/>
      <c r="AB29" s="1352"/>
      <c r="AC29" s="1352"/>
      <c r="AD29" s="1352"/>
      <c r="AE29" s="1352"/>
      <c r="AF29" s="1352"/>
      <c r="AG29" s="1352"/>
      <c r="AH29" s="1352"/>
      <c r="AI29" s="1352"/>
      <c r="AJ29" s="1352"/>
      <c r="AK29" s="1352"/>
      <c r="AL29" s="1352"/>
      <c r="AM29" s="1352"/>
      <c r="AN29" s="1353"/>
    </row>
    <row r="30" spans="1:40" ht="15" thickBot="1" x14ac:dyDescent="0.35">
      <c r="B30" s="45" t="s">
        <v>9</v>
      </c>
      <c r="C30" s="46" t="s">
        <v>10</v>
      </c>
      <c r="D30" s="45" t="s">
        <v>11</v>
      </c>
      <c r="E30" s="1339" t="s">
        <v>25</v>
      </c>
      <c r="F30" s="1340"/>
      <c r="G30" s="1341"/>
      <c r="H30" s="1342" t="s">
        <v>26</v>
      </c>
      <c r="I30" s="1342"/>
      <c r="J30" s="1342"/>
      <c r="K30" s="1339" t="s">
        <v>27</v>
      </c>
      <c r="L30" s="1340"/>
      <c r="M30" s="1341"/>
      <c r="N30" s="1342" t="s">
        <v>28</v>
      </c>
      <c r="O30" s="1342"/>
      <c r="P30" s="1342"/>
      <c r="Q30" s="1339" t="s">
        <v>29</v>
      </c>
      <c r="R30" s="1340"/>
      <c r="S30" s="1341"/>
      <c r="T30" s="1342" t="s">
        <v>30</v>
      </c>
      <c r="U30" s="1342"/>
      <c r="V30" s="1342"/>
      <c r="W30" s="1339" t="s">
        <v>36</v>
      </c>
      <c r="X30" s="1340"/>
      <c r="Y30" s="1341"/>
      <c r="Z30" s="1342" t="s">
        <v>31</v>
      </c>
      <c r="AA30" s="1342"/>
      <c r="AB30" s="1342"/>
      <c r="AC30" s="1339" t="s">
        <v>32</v>
      </c>
      <c r="AD30" s="1340"/>
      <c r="AE30" s="1341"/>
      <c r="AF30" s="1342" t="s">
        <v>33</v>
      </c>
      <c r="AG30" s="1342"/>
      <c r="AH30" s="1342"/>
      <c r="AI30" s="1339" t="s">
        <v>34</v>
      </c>
      <c r="AJ30" s="1340"/>
      <c r="AK30" s="1341"/>
      <c r="AL30" s="1342" t="s">
        <v>35</v>
      </c>
      <c r="AM30" s="1342"/>
      <c r="AN30" s="1343"/>
    </row>
    <row r="31" spans="1:40" ht="15" thickBot="1" x14ac:dyDescent="0.35">
      <c r="B31" s="47"/>
      <c r="C31" s="48"/>
      <c r="D31" s="48"/>
      <c r="E31" s="89" t="s">
        <v>37</v>
      </c>
      <c r="F31" s="90" t="s">
        <v>15</v>
      </c>
      <c r="G31" s="91" t="s">
        <v>14</v>
      </c>
      <c r="H31" s="90" t="s">
        <v>37</v>
      </c>
      <c r="I31" s="90" t="s">
        <v>15</v>
      </c>
      <c r="J31" s="90" t="s">
        <v>14</v>
      </c>
      <c r="K31" s="89" t="s">
        <v>37</v>
      </c>
      <c r="L31" s="90" t="s">
        <v>15</v>
      </c>
      <c r="M31" s="91" t="s">
        <v>14</v>
      </c>
      <c r="N31" s="90" t="s">
        <v>37</v>
      </c>
      <c r="O31" s="90" t="s">
        <v>15</v>
      </c>
      <c r="P31" s="90" t="s">
        <v>14</v>
      </c>
      <c r="Q31" s="89" t="s">
        <v>37</v>
      </c>
      <c r="R31" s="90" t="s">
        <v>15</v>
      </c>
      <c r="S31" s="91" t="s">
        <v>14</v>
      </c>
      <c r="T31" s="90" t="s">
        <v>37</v>
      </c>
      <c r="U31" s="90" t="s">
        <v>15</v>
      </c>
      <c r="V31" s="90" t="s">
        <v>14</v>
      </c>
      <c r="W31" s="89" t="s">
        <v>37</v>
      </c>
      <c r="X31" s="90" t="s">
        <v>15</v>
      </c>
      <c r="Y31" s="91" t="s">
        <v>14</v>
      </c>
      <c r="Z31" s="90" t="s">
        <v>37</v>
      </c>
      <c r="AA31" s="90" t="s">
        <v>15</v>
      </c>
      <c r="AB31" s="90" t="s">
        <v>14</v>
      </c>
      <c r="AC31" s="89" t="s">
        <v>37</v>
      </c>
      <c r="AD31" s="90" t="s">
        <v>15</v>
      </c>
      <c r="AE31" s="91" t="s">
        <v>14</v>
      </c>
      <c r="AF31" s="90" t="s">
        <v>37</v>
      </c>
      <c r="AG31" s="90" t="s">
        <v>15</v>
      </c>
      <c r="AH31" s="90" t="s">
        <v>14</v>
      </c>
      <c r="AI31" s="89" t="s">
        <v>37</v>
      </c>
      <c r="AJ31" s="90" t="s">
        <v>15</v>
      </c>
      <c r="AK31" s="91" t="s">
        <v>14</v>
      </c>
      <c r="AL31" s="90" t="s">
        <v>37</v>
      </c>
      <c r="AM31" s="90" t="s">
        <v>15</v>
      </c>
      <c r="AN31" s="91" t="s">
        <v>14</v>
      </c>
    </row>
    <row r="32" spans="1:40" s="194" customFormat="1" thickBot="1" x14ac:dyDescent="0.3">
      <c r="A32" s="208"/>
      <c r="B32" s="293"/>
      <c r="C32" s="153"/>
      <c r="D32" s="188"/>
      <c r="E32" s="154"/>
      <c r="F32" s="155"/>
      <c r="G32" s="156"/>
      <c r="H32" s="157"/>
      <c r="I32" s="155"/>
      <c r="J32" s="156"/>
      <c r="K32" s="157"/>
      <c r="L32" s="155"/>
      <c r="M32" s="156"/>
      <c r="N32" s="157"/>
      <c r="O32" s="155"/>
      <c r="P32" s="156"/>
      <c r="Q32" s="157"/>
      <c r="R32" s="155"/>
      <c r="S32" s="156"/>
      <c r="T32" s="157"/>
      <c r="U32" s="155"/>
      <c r="V32" s="156"/>
      <c r="W32" s="157"/>
      <c r="X32" s="155"/>
      <c r="Y32" s="156"/>
      <c r="Z32" s="157"/>
      <c r="AA32" s="158"/>
      <c r="AB32" s="159"/>
      <c r="AC32" s="157"/>
      <c r="AD32" s="158"/>
      <c r="AE32" s="159"/>
      <c r="AF32" s="157"/>
      <c r="AG32" s="158"/>
      <c r="AH32" s="159"/>
      <c r="AI32" s="157"/>
      <c r="AJ32" s="158"/>
      <c r="AK32" s="159"/>
      <c r="AL32" s="157"/>
      <c r="AM32" s="158"/>
      <c r="AN32" s="159"/>
    </row>
    <row r="33" spans="1:40" s="194" customFormat="1" ht="15" thickBot="1" x14ac:dyDescent="0.35">
      <c r="A33" s="208"/>
      <c r="B33" s="48"/>
      <c r="C33" s="103"/>
      <c r="D33" s="188"/>
      <c r="E33" s="160"/>
      <c r="F33" s="108"/>
      <c r="G33" s="161"/>
      <c r="H33" s="162"/>
      <c r="I33" s="108"/>
      <c r="J33" s="161"/>
      <c r="K33" s="162"/>
      <c r="L33" s="108"/>
      <c r="M33" s="161"/>
      <c r="N33" s="162"/>
      <c r="O33" s="108"/>
      <c r="P33" s="161"/>
      <c r="Q33" s="162"/>
      <c r="R33" s="108"/>
      <c r="S33" s="161"/>
      <c r="T33" s="162"/>
      <c r="U33" s="108"/>
      <c r="V33" s="161"/>
      <c r="W33" s="162"/>
      <c r="X33" s="108"/>
      <c r="Y33" s="161"/>
      <c r="Z33" s="162"/>
      <c r="AA33" s="108"/>
      <c r="AB33" s="164"/>
      <c r="AC33" s="162"/>
      <c r="AD33" s="108"/>
      <c r="AE33" s="164"/>
      <c r="AF33" s="162"/>
      <c r="AG33" s="108"/>
      <c r="AH33" s="164"/>
      <c r="AI33" s="162"/>
      <c r="AJ33" s="108"/>
      <c r="AK33" s="164"/>
      <c r="AL33" s="162"/>
      <c r="AM33" s="108"/>
      <c r="AN33" s="164"/>
    </row>
    <row r="34" spans="1:40" s="194" customFormat="1" ht="15" thickBot="1" x14ac:dyDescent="0.35">
      <c r="A34" s="208"/>
      <c r="B34" s="48"/>
      <c r="C34" s="103"/>
      <c r="D34" s="188"/>
      <c r="E34" s="160"/>
      <c r="F34" s="108"/>
      <c r="G34" s="161"/>
      <c r="H34" s="162"/>
      <c r="I34" s="108"/>
      <c r="J34" s="161"/>
      <c r="K34" s="162"/>
      <c r="L34" s="108"/>
      <c r="M34" s="161"/>
      <c r="N34" s="162"/>
      <c r="O34" s="108"/>
      <c r="P34" s="161"/>
      <c r="Q34" s="162"/>
      <c r="R34" s="108"/>
      <c r="S34" s="161"/>
      <c r="T34" s="162"/>
      <c r="U34" s="108"/>
      <c r="V34" s="161"/>
      <c r="W34" s="162"/>
      <c r="X34" s="108"/>
      <c r="Y34" s="161"/>
      <c r="Z34" s="162"/>
      <c r="AA34" s="108"/>
      <c r="AB34" s="164"/>
      <c r="AC34" s="162"/>
      <c r="AD34" s="108"/>
      <c r="AE34" s="164"/>
      <c r="AF34" s="162"/>
      <c r="AG34" s="108"/>
      <c r="AH34" s="164"/>
      <c r="AI34" s="162"/>
      <c r="AJ34" s="108"/>
      <c r="AK34" s="164"/>
      <c r="AL34" s="162"/>
      <c r="AM34" s="108"/>
      <c r="AN34" s="164"/>
    </row>
    <row r="35" spans="1:40" s="194" customFormat="1" ht="13.8" x14ac:dyDescent="0.25">
      <c r="A35" s="208"/>
      <c r="B35" s="290"/>
      <c r="C35" s="103"/>
      <c r="D35" s="188"/>
      <c r="E35" s="160"/>
      <c r="F35" s="108"/>
      <c r="G35" s="161"/>
      <c r="H35" s="162"/>
      <c r="I35" s="108"/>
      <c r="J35" s="161"/>
      <c r="K35" s="162"/>
      <c r="L35" s="108"/>
      <c r="M35" s="161"/>
      <c r="N35" s="162"/>
      <c r="O35" s="108"/>
      <c r="P35" s="161"/>
      <c r="Q35" s="162"/>
      <c r="R35" s="108"/>
      <c r="S35" s="161"/>
      <c r="T35" s="162"/>
      <c r="U35" s="108"/>
      <c r="V35" s="161"/>
      <c r="W35" s="162"/>
      <c r="X35" s="108"/>
      <c r="Y35" s="161"/>
      <c r="Z35" s="162"/>
      <c r="AA35" s="108"/>
      <c r="AB35" s="164"/>
      <c r="AC35" s="162"/>
      <c r="AD35" s="108"/>
      <c r="AE35" s="164"/>
      <c r="AF35" s="162"/>
      <c r="AG35" s="108"/>
      <c r="AH35" s="164"/>
      <c r="AI35" s="162"/>
      <c r="AJ35" s="108"/>
      <c r="AK35" s="164"/>
      <c r="AL35" s="162"/>
      <c r="AM35" s="108"/>
      <c r="AN35" s="164"/>
    </row>
    <row r="36" spans="1:40" s="194" customFormat="1" ht="13.8" x14ac:dyDescent="0.25">
      <c r="A36" s="208"/>
      <c r="B36" s="290"/>
      <c r="C36" s="103"/>
      <c r="D36" s="163"/>
      <c r="E36" s="160"/>
      <c r="F36" s="108"/>
      <c r="G36" s="244"/>
      <c r="H36" s="162"/>
      <c r="I36" s="108"/>
      <c r="J36" s="244"/>
      <c r="K36" s="162"/>
      <c r="L36" s="108"/>
      <c r="M36" s="244"/>
      <c r="N36" s="162"/>
      <c r="O36" s="108"/>
      <c r="P36" s="244"/>
      <c r="Q36" s="162"/>
      <c r="R36" s="108"/>
      <c r="S36" s="244"/>
      <c r="T36" s="162"/>
      <c r="U36" s="108"/>
      <c r="V36" s="244"/>
      <c r="W36" s="162"/>
      <c r="X36" s="108"/>
      <c r="Y36" s="161"/>
      <c r="Z36" s="162"/>
      <c r="AA36" s="108"/>
      <c r="AB36" s="164"/>
      <c r="AC36" s="162"/>
      <c r="AD36" s="108"/>
      <c r="AE36" s="164"/>
      <c r="AF36" s="162"/>
      <c r="AG36" s="108"/>
      <c r="AH36" s="164"/>
      <c r="AI36" s="162"/>
      <c r="AJ36" s="108"/>
      <c r="AK36" s="164"/>
      <c r="AL36" s="162"/>
      <c r="AM36" s="108"/>
      <c r="AN36" s="164"/>
    </row>
    <row r="37" spans="1:40" s="194" customFormat="1" ht="13.8" x14ac:dyDescent="0.25">
      <c r="A37" s="208"/>
      <c r="B37" s="290"/>
      <c r="C37" s="103"/>
      <c r="D37" s="163"/>
      <c r="E37" s="160"/>
      <c r="F37" s="160"/>
      <c r="G37" s="160"/>
      <c r="H37" s="162"/>
      <c r="I37" s="108"/>
      <c r="J37" s="161"/>
      <c r="K37" s="162"/>
      <c r="L37" s="108"/>
      <c r="M37" s="161"/>
      <c r="N37" s="162"/>
      <c r="O37" s="108"/>
      <c r="P37" s="161"/>
      <c r="Q37" s="162"/>
      <c r="R37" s="108"/>
      <c r="S37" s="164"/>
      <c r="T37" s="162"/>
      <c r="U37" s="108"/>
      <c r="V37" s="164"/>
      <c r="W37" s="108"/>
      <c r="X37" s="108"/>
      <c r="Y37" s="108"/>
      <c r="Z37" s="162"/>
      <c r="AA37" s="108"/>
      <c r="AB37" s="164"/>
      <c r="AC37" s="162"/>
      <c r="AD37" s="108"/>
      <c r="AE37" s="164"/>
      <c r="AF37" s="162"/>
      <c r="AG37" s="108"/>
      <c r="AH37" s="164"/>
      <c r="AI37" s="162"/>
      <c r="AJ37" s="108"/>
      <c r="AK37" s="164"/>
      <c r="AL37" s="162"/>
      <c r="AM37" s="108"/>
      <c r="AN37" s="164"/>
    </row>
    <row r="38" spans="1:40" s="194" customFormat="1" ht="13.8" x14ac:dyDescent="0.25">
      <c r="A38" s="208"/>
      <c r="B38" s="294"/>
      <c r="C38" s="103"/>
      <c r="D38" s="163"/>
      <c r="E38" s="160"/>
      <c r="F38" s="160"/>
      <c r="G38" s="160"/>
      <c r="H38" s="162"/>
      <c r="I38" s="108"/>
      <c r="J38" s="165"/>
      <c r="K38" s="162"/>
      <c r="L38" s="108"/>
      <c r="M38" s="165"/>
      <c r="N38" s="162"/>
      <c r="O38" s="108"/>
      <c r="P38" s="165"/>
      <c r="Q38" s="162"/>
      <c r="R38" s="108"/>
      <c r="S38" s="165"/>
      <c r="T38" s="162"/>
      <c r="U38" s="108"/>
      <c r="V38" s="165"/>
      <c r="W38" s="162"/>
      <c r="X38" s="108"/>
      <c r="Y38" s="165"/>
      <c r="Z38" s="162"/>
      <c r="AA38" s="108"/>
      <c r="AB38" s="165"/>
      <c r="AC38" s="162"/>
      <c r="AD38" s="108"/>
      <c r="AE38" s="165"/>
      <c r="AF38" s="162"/>
      <c r="AG38" s="108"/>
      <c r="AH38" s="165"/>
      <c r="AI38" s="162"/>
      <c r="AJ38" s="108"/>
      <c r="AK38" s="165"/>
      <c r="AL38" s="162"/>
      <c r="AM38" s="108"/>
      <c r="AN38" s="165"/>
    </row>
    <row r="39" spans="1:40" s="194" customFormat="1" ht="32.25" customHeight="1" x14ac:dyDescent="0.25">
      <c r="A39" s="208"/>
      <c r="B39" s="290"/>
      <c r="C39" s="103"/>
      <c r="D39" s="163"/>
      <c r="E39" s="160"/>
      <c r="F39" s="160"/>
      <c r="G39" s="160"/>
      <c r="H39" s="162"/>
      <c r="I39" s="108"/>
      <c r="J39" s="161"/>
      <c r="K39" s="162"/>
      <c r="L39" s="108"/>
      <c r="M39" s="161"/>
      <c r="N39" s="162"/>
      <c r="O39" s="108"/>
      <c r="P39" s="161"/>
      <c r="Q39" s="162"/>
      <c r="R39" s="108"/>
      <c r="S39" s="161"/>
      <c r="T39" s="162"/>
      <c r="U39" s="108"/>
      <c r="V39" s="161"/>
      <c r="W39" s="162"/>
      <c r="X39" s="108"/>
      <c r="Y39" s="161"/>
      <c r="Z39" s="162"/>
      <c r="AA39" s="108"/>
      <c r="AB39" s="164"/>
      <c r="AC39" s="162"/>
      <c r="AD39" s="108"/>
      <c r="AE39" s="164"/>
      <c r="AF39" s="162"/>
      <c r="AG39" s="108"/>
      <c r="AH39" s="164"/>
      <c r="AI39" s="162"/>
      <c r="AJ39" s="108"/>
      <c r="AK39" s="164"/>
      <c r="AL39" s="162"/>
      <c r="AM39" s="108"/>
      <c r="AN39" s="164"/>
    </row>
    <row r="40" spans="1:40" s="194" customFormat="1" ht="28.5" customHeight="1" x14ac:dyDescent="0.25">
      <c r="A40" s="208"/>
      <c r="B40" s="294"/>
      <c r="C40" s="103"/>
      <c r="D40" s="163"/>
      <c r="E40" s="162"/>
      <c r="F40" s="108"/>
      <c r="G40" s="161"/>
      <c r="H40" s="162"/>
      <c r="I40" s="108"/>
      <c r="J40" s="161"/>
      <c r="K40" s="162"/>
      <c r="L40" s="108"/>
      <c r="M40" s="161"/>
      <c r="N40" s="162"/>
      <c r="O40" s="108"/>
      <c r="P40" s="161"/>
      <c r="Q40" s="162"/>
      <c r="R40" s="108"/>
      <c r="S40" s="161"/>
      <c r="T40" s="162"/>
      <c r="U40" s="108"/>
      <c r="V40" s="164"/>
      <c r="W40" s="162"/>
      <c r="X40" s="108"/>
      <c r="Y40" s="161"/>
      <c r="Z40" s="162"/>
      <c r="AA40" s="108"/>
      <c r="AB40" s="164"/>
      <c r="AC40" s="162"/>
      <c r="AD40" s="108"/>
      <c r="AE40" s="164"/>
      <c r="AF40" s="162"/>
      <c r="AG40" s="108"/>
      <c r="AH40" s="164"/>
      <c r="AI40" s="162"/>
      <c r="AJ40" s="108"/>
      <c r="AK40" s="164"/>
      <c r="AL40" s="162"/>
      <c r="AM40" s="108"/>
      <c r="AN40" s="164"/>
    </row>
    <row r="41" spans="1:40" s="194" customFormat="1" ht="13.8" x14ac:dyDescent="0.25">
      <c r="A41" s="208"/>
      <c r="B41" s="290"/>
      <c r="C41" s="103"/>
      <c r="D41" s="163"/>
      <c r="E41" s="162"/>
      <c r="F41" s="108"/>
      <c r="G41" s="164"/>
      <c r="H41" s="162"/>
      <c r="I41" s="108"/>
      <c r="J41" s="161"/>
      <c r="K41" s="162"/>
      <c r="L41" s="108"/>
      <c r="M41" s="161"/>
      <c r="N41" s="162"/>
      <c r="O41" s="108"/>
      <c r="P41" s="161"/>
      <c r="Q41" s="162"/>
      <c r="R41" s="108"/>
      <c r="S41" s="161"/>
      <c r="T41" s="162"/>
      <c r="U41" s="108"/>
      <c r="V41" s="164"/>
      <c r="W41" s="162"/>
      <c r="X41" s="108"/>
      <c r="Y41" s="161"/>
      <c r="Z41" s="162"/>
      <c r="AA41" s="108"/>
      <c r="AB41" s="164"/>
      <c r="AC41" s="162"/>
      <c r="AD41" s="108"/>
      <c r="AE41" s="164"/>
      <c r="AF41" s="162"/>
      <c r="AG41" s="108"/>
      <c r="AH41" s="164"/>
      <c r="AI41" s="162"/>
      <c r="AJ41" s="108"/>
      <c r="AK41" s="164"/>
      <c r="AL41" s="162"/>
      <c r="AM41" s="108"/>
      <c r="AN41" s="164"/>
    </row>
    <row r="42" spans="1:40" s="194" customFormat="1" ht="13.8" x14ac:dyDescent="0.25">
      <c r="A42" s="208"/>
      <c r="B42" s="294"/>
      <c r="C42" s="103"/>
      <c r="D42" s="163"/>
      <c r="E42" s="162"/>
      <c r="F42" s="108"/>
      <c r="G42" s="164"/>
      <c r="H42" s="162"/>
      <c r="I42" s="108"/>
      <c r="J42" s="161"/>
      <c r="K42" s="162"/>
      <c r="L42" s="108"/>
      <c r="M42" s="161"/>
      <c r="N42" s="162"/>
      <c r="O42" s="108"/>
      <c r="P42" s="161"/>
      <c r="Q42" s="162"/>
      <c r="R42" s="108"/>
      <c r="S42" s="161"/>
      <c r="T42" s="162"/>
      <c r="U42" s="108"/>
      <c r="V42" s="164"/>
      <c r="W42" s="162"/>
      <c r="X42" s="108"/>
      <c r="Y42" s="161"/>
      <c r="Z42" s="162"/>
      <c r="AA42" s="108"/>
      <c r="AB42" s="164"/>
      <c r="AC42" s="162"/>
      <c r="AD42" s="108"/>
      <c r="AE42" s="164"/>
      <c r="AF42" s="162"/>
      <c r="AG42" s="108"/>
      <c r="AH42" s="164"/>
      <c r="AI42" s="162"/>
      <c r="AJ42" s="108"/>
      <c r="AK42" s="164"/>
      <c r="AL42" s="162"/>
      <c r="AM42" s="108"/>
      <c r="AN42" s="164"/>
    </row>
    <row r="43" spans="1:40" s="194" customFormat="1" ht="13.8" x14ac:dyDescent="0.25">
      <c r="A43" s="208"/>
      <c r="B43" s="290"/>
      <c r="C43" s="103"/>
      <c r="D43" s="163"/>
      <c r="E43" s="162"/>
      <c r="F43" s="108"/>
      <c r="G43" s="164"/>
      <c r="H43" s="162"/>
      <c r="I43" s="108"/>
      <c r="J43" s="161"/>
      <c r="K43" s="162"/>
      <c r="L43" s="108"/>
      <c r="M43" s="161"/>
      <c r="N43" s="162"/>
      <c r="O43" s="108"/>
      <c r="P43" s="161"/>
      <c r="Q43" s="162"/>
      <c r="R43" s="108"/>
      <c r="S43" s="161"/>
      <c r="T43" s="162"/>
      <c r="U43" s="108"/>
      <c r="V43" s="164"/>
      <c r="W43" s="162"/>
      <c r="X43" s="108"/>
      <c r="Y43" s="161"/>
      <c r="Z43" s="162"/>
      <c r="AA43" s="108"/>
      <c r="AB43" s="164"/>
      <c r="AC43" s="162"/>
      <c r="AD43" s="108"/>
      <c r="AE43" s="164"/>
      <c r="AF43" s="162"/>
      <c r="AG43" s="108"/>
      <c r="AH43" s="164"/>
      <c r="AI43" s="162"/>
      <c r="AJ43" s="108"/>
      <c r="AK43" s="164"/>
      <c r="AL43" s="162"/>
      <c r="AM43" s="108"/>
      <c r="AN43" s="164"/>
    </row>
    <row r="44" spans="1:40" s="194" customFormat="1" ht="13.8" x14ac:dyDescent="0.25">
      <c r="A44" s="208"/>
      <c r="B44" s="294"/>
      <c r="C44" s="103"/>
      <c r="D44" s="163"/>
      <c r="E44" s="162"/>
      <c r="F44" s="108"/>
      <c r="G44" s="161"/>
      <c r="H44" s="162"/>
      <c r="I44" s="108"/>
      <c r="J44" s="161"/>
      <c r="K44" s="162"/>
      <c r="L44" s="108"/>
      <c r="M44" s="161"/>
      <c r="N44" s="162"/>
      <c r="O44" s="108"/>
      <c r="P44" s="161"/>
      <c r="Q44" s="162"/>
      <c r="R44" s="108"/>
      <c r="S44" s="161"/>
      <c r="T44" s="162"/>
      <c r="U44" s="108"/>
      <c r="V44" s="164"/>
      <c r="W44" s="162"/>
      <c r="X44" s="108"/>
      <c r="Y44" s="165"/>
      <c r="Z44" s="162"/>
      <c r="AA44" s="108"/>
      <c r="AB44" s="164"/>
      <c r="AC44" s="162"/>
      <c r="AD44" s="108"/>
      <c r="AE44" s="164"/>
      <c r="AF44" s="162"/>
      <c r="AG44" s="108"/>
      <c r="AH44" s="164"/>
      <c r="AI44" s="162"/>
      <c r="AJ44" s="108"/>
      <c r="AK44" s="164"/>
      <c r="AL44" s="162"/>
      <c r="AM44" s="108"/>
      <c r="AN44" s="164"/>
    </row>
    <row r="45" spans="1:40" s="194" customFormat="1" ht="13.8" x14ac:dyDescent="0.25">
      <c r="A45" s="208"/>
      <c r="B45" s="290"/>
      <c r="C45" s="103"/>
      <c r="D45" s="163"/>
      <c r="E45" s="162"/>
      <c r="F45" s="108"/>
      <c r="G45" s="164"/>
      <c r="H45" s="162"/>
      <c r="I45" s="108"/>
      <c r="J45" s="161"/>
      <c r="K45" s="162"/>
      <c r="L45" s="108"/>
      <c r="M45" s="161"/>
      <c r="N45" s="162"/>
      <c r="O45" s="108"/>
      <c r="P45" s="161"/>
      <c r="Q45" s="162"/>
      <c r="R45" s="108"/>
      <c r="S45" s="161"/>
      <c r="T45" s="162"/>
      <c r="U45" s="108"/>
      <c r="V45" s="164"/>
      <c r="W45" s="162"/>
      <c r="X45" s="108"/>
      <c r="Y45" s="161"/>
      <c r="Z45" s="162"/>
      <c r="AA45" s="108"/>
      <c r="AB45" s="164"/>
      <c r="AC45" s="162"/>
      <c r="AD45" s="108"/>
      <c r="AE45" s="164"/>
      <c r="AF45" s="162"/>
      <c r="AG45" s="108"/>
      <c r="AH45" s="164"/>
      <c r="AI45" s="162"/>
      <c r="AJ45" s="108"/>
      <c r="AK45" s="164"/>
      <c r="AL45" s="162"/>
      <c r="AM45" s="108"/>
      <c r="AN45" s="164"/>
    </row>
    <row r="46" spans="1:40" s="194" customFormat="1" ht="13.8" x14ac:dyDescent="0.25">
      <c r="A46" s="208"/>
      <c r="B46" s="294"/>
      <c r="C46" s="103"/>
      <c r="D46" s="163"/>
      <c r="E46" s="162"/>
      <c r="F46" s="108"/>
      <c r="G46" s="164"/>
      <c r="H46" s="162"/>
      <c r="I46" s="108"/>
      <c r="J46" s="164"/>
      <c r="K46" s="162"/>
      <c r="L46" s="108"/>
      <c r="M46" s="164"/>
      <c r="N46" s="162"/>
      <c r="O46" s="108"/>
      <c r="P46" s="164"/>
      <c r="Q46" s="162"/>
      <c r="R46" s="108"/>
      <c r="S46" s="164"/>
      <c r="T46" s="162"/>
      <c r="U46" s="108"/>
      <c r="V46" s="164"/>
      <c r="W46" s="162"/>
      <c r="X46" s="108"/>
      <c r="Y46" s="161"/>
      <c r="Z46" s="162"/>
      <c r="AA46" s="108"/>
      <c r="AB46" s="164"/>
      <c r="AC46" s="162"/>
      <c r="AD46" s="108"/>
      <c r="AE46" s="164"/>
      <c r="AF46" s="162"/>
      <c r="AG46" s="108"/>
      <c r="AH46" s="164"/>
      <c r="AI46" s="162"/>
      <c r="AJ46" s="108"/>
      <c r="AK46" s="164"/>
      <c r="AL46" s="162"/>
      <c r="AM46" s="108"/>
      <c r="AN46" s="164"/>
    </row>
    <row r="47" spans="1:40" s="194" customFormat="1" ht="13.8" x14ac:dyDescent="0.25">
      <c r="A47" s="208"/>
      <c r="B47" s="290"/>
      <c r="C47" s="103"/>
      <c r="D47" s="163"/>
      <c r="E47" s="162"/>
      <c r="F47" s="108"/>
      <c r="G47" s="164"/>
      <c r="H47" s="162"/>
      <c r="I47" s="108"/>
      <c r="J47" s="164"/>
      <c r="K47" s="162"/>
      <c r="L47" s="108"/>
      <c r="M47" s="161"/>
      <c r="N47" s="162"/>
      <c r="O47" s="108"/>
      <c r="P47" s="161"/>
      <c r="Q47" s="162"/>
      <c r="R47" s="108"/>
      <c r="S47" s="164"/>
      <c r="T47" s="162"/>
      <c r="U47" s="108"/>
      <c r="V47" s="164"/>
      <c r="W47" s="162"/>
      <c r="X47" s="108"/>
      <c r="Y47" s="161"/>
      <c r="Z47" s="162"/>
      <c r="AA47" s="108"/>
      <c r="AB47" s="164"/>
      <c r="AC47" s="162"/>
      <c r="AD47" s="108"/>
      <c r="AE47" s="164"/>
      <c r="AF47" s="162"/>
      <c r="AG47" s="108"/>
      <c r="AH47" s="164"/>
      <c r="AI47" s="162"/>
      <c r="AJ47" s="108"/>
      <c r="AK47" s="164"/>
      <c r="AL47" s="162"/>
      <c r="AM47" s="108"/>
      <c r="AN47" s="164"/>
    </row>
    <row r="48" spans="1:40" s="194" customFormat="1" ht="25.5" customHeight="1" thickBot="1" x14ac:dyDescent="0.3">
      <c r="A48" s="208"/>
      <c r="B48" s="292"/>
      <c r="C48" s="122"/>
      <c r="D48" s="167"/>
      <c r="E48" s="168"/>
      <c r="F48" s="126"/>
      <c r="G48" s="169"/>
      <c r="H48" s="168"/>
      <c r="I48" s="126"/>
      <c r="J48" s="170"/>
      <c r="K48" s="168"/>
      <c r="L48" s="126"/>
      <c r="M48" s="170"/>
      <c r="N48" s="168"/>
      <c r="O48" s="126"/>
      <c r="P48" s="170"/>
      <c r="Q48" s="168"/>
      <c r="R48" s="126"/>
      <c r="S48" s="169"/>
      <c r="T48" s="168"/>
      <c r="U48" s="126"/>
      <c r="V48" s="170"/>
      <c r="W48" s="168"/>
      <c r="X48" s="126"/>
      <c r="Y48" s="170"/>
      <c r="Z48" s="168"/>
      <c r="AA48" s="126"/>
      <c r="AB48" s="169"/>
      <c r="AC48" s="168"/>
      <c r="AD48" s="126"/>
      <c r="AE48" s="169"/>
      <c r="AF48" s="168"/>
      <c r="AG48" s="126"/>
      <c r="AH48" s="169"/>
      <c r="AI48" s="168"/>
      <c r="AJ48" s="126"/>
      <c r="AK48" s="169"/>
      <c r="AL48" s="168"/>
      <c r="AM48" s="126"/>
      <c r="AN48" s="169"/>
    </row>
  </sheetData>
  <mergeCells count="38">
    <mergeCell ref="F4:Q4"/>
    <mergeCell ref="S4:U4"/>
    <mergeCell ref="F1:Q1"/>
    <mergeCell ref="S1:U1"/>
    <mergeCell ref="F2:Q2"/>
    <mergeCell ref="S2:U2"/>
    <mergeCell ref="F3:Q3"/>
    <mergeCell ref="S3:U3"/>
    <mergeCell ref="B29:AN29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N30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23:H23"/>
    <mergeCell ref="F24:H24"/>
    <mergeCell ref="F18:H18"/>
    <mergeCell ref="F19:H19"/>
    <mergeCell ref="F20:H20"/>
    <mergeCell ref="F21:H21"/>
    <mergeCell ref="F22:H22"/>
  </mergeCells>
  <conditionalFormatting sqref="E32:AN48">
    <cfRule type="notContainsBlanks" dxfId="4" priority="1">
      <formula>LEN(TRIM(E32))&gt;0</formula>
    </cfRule>
  </conditionalFormatting>
  <conditionalFormatting sqref="F8:T24">
    <cfRule type="notContainsBlanks" dxfId="3" priority="2">
      <formula>LEN(TRIM(F8))&gt;0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50"/>
  <sheetViews>
    <sheetView topLeftCell="B1" zoomScale="110" zoomScaleNormal="110" workbookViewId="0">
      <pane xSplit="3" ySplit="4" topLeftCell="E5" activePane="bottomRight" state="frozen"/>
      <selection activeCell="B1" sqref="B1"/>
      <selection pane="topRight" activeCell="E1" sqref="E1"/>
      <selection pane="bottomLeft" activeCell="B5" sqref="B5"/>
      <selection pane="bottomRight" activeCell="E26" sqref="E26"/>
    </sheetView>
  </sheetViews>
  <sheetFormatPr baseColWidth="10" defaultColWidth="11.44140625" defaultRowHeight="12" x14ac:dyDescent="0.25"/>
  <cols>
    <col min="1" max="1" width="13.21875" style="439" bestFit="1" customWidth="1"/>
    <col min="2" max="2" width="3.21875" style="439" bestFit="1" customWidth="1"/>
    <col min="3" max="3" width="15.33203125" style="439" bestFit="1" customWidth="1"/>
    <col min="4" max="4" width="25.77734375" style="439" bestFit="1" customWidth="1"/>
    <col min="5" max="5" width="16.5546875" style="439" bestFit="1" customWidth="1"/>
    <col min="6" max="6" width="12" style="439" bestFit="1" customWidth="1"/>
    <col min="7" max="7" width="20" style="439" bestFit="1" customWidth="1"/>
    <col min="8" max="8" width="12.33203125" style="439" bestFit="1" customWidth="1"/>
    <col min="9" max="9" width="11.88671875" style="439" bestFit="1" customWidth="1"/>
    <col min="10" max="11" width="12.33203125" style="439" bestFit="1" customWidth="1"/>
    <col min="12" max="13" width="11.88671875" style="439" bestFit="1" customWidth="1"/>
    <col min="14" max="14" width="12.33203125" style="439" bestFit="1" customWidth="1"/>
    <col min="15" max="16" width="11.88671875" style="439" bestFit="1" customWidth="1"/>
    <col min="17" max="17" width="12.33203125" style="439" bestFit="1" customWidth="1"/>
    <col min="18" max="19" width="11.88671875" style="439" bestFit="1" customWidth="1"/>
    <col min="20" max="20" width="12.33203125" style="439" bestFit="1" customWidth="1"/>
    <col min="21" max="21" width="11.88671875" style="439" bestFit="1" customWidth="1"/>
    <col min="22" max="22" width="9.88671875" style="439" bestFit="1" customWidth="1"/>
    <col min="23" max="23" width="11.44140625" style="439" bestFit="1" customWidth="1"/>
    <col min="24" max="24" width="11.88671875" style="439" bestFit="1" customWidth="1"/>
    <col min="25" max="25" width="7" style="439" bestFit="1" customWidth="1"/>
    <col min="26" max="26" width="11.44140625" style="439"/>
    <col min="27" max="27" width="11.88671875" style="439" bestFit="1" customWidth="1"/>
    <col min="28" max="28" width="12.6640625" style="439" bestFit="1" customWidth="1"/>
    <col min="29" max="29" width="11.44140625" style="439"/>
    <col min="30" max="30" width="11.88671875" style="439" bestFit="1" customWidth="1"/>
    <col min="31" max="31" width="13.77734375" style="439" bestFit="1" customWidth="1"/>
    <col min="32" max="32" width="11.44140625" style="439"/>
    <col min="33" max="33" width="11.88671875" style="439" bestFit="1" customWidth="1"/>
    <col min="34" max="34" width="14.88671875" style="439" bestFit="1" customWidth="1"/>
    <col min="35" max="35" width="13" style="439" customWidth="1"/>
    <col min="36" max="36" width="11.88671875" style="439" bestFit="1" customWidth="1"/>
    <col min="37" max="37" width="13" style="439" customWidth="1"/>
    <col min="38" max="38" width="11.44140625" style="439"/>
    <col min="39" max="39" width="11.88671875" style="439" bestFit="1" customWidth="1"/>
    <col min="40" max="40" width="11.44140625" style="439" bestFit="1" customWidth="1"/>
    <col min="41" max="16384" width="11.44140625" style="439"/>
  </cols>
  <sheetData>
    <row r="1" spans="1:24" ht="12.6" thickBot="1" x14ac:dyDescent="0.3">
      <c r="E1" s="440"/>
      <c r="F1" s="1403" t="s">
        <v>0</v>
      </c>
      <c r="G1" s="1403"/>
      <c r="H1" s="1403"/>
      <c r="I1" s="1403"/>
      <c r="J1" s="1403"/>
      <c r="K1" s="1403"/>
      <c r="L1" s="1403"/>
      <c r="M1" s="1403"/>
      <c r="N1" s="1403"/>
      <c r="O1" s="1403"/>
      <c r="P1" s="1403"/>
      <c r="Q1" s="1403"/>
      <c r="R1" s="441"/>
      <c r="S1" s="1393" t="s">
        <v>1</v>
      </c>
      <c r="T1" s="1393"/>
      <c r="U1" s="1394"/>
    </row>
    <row r="2" spans="1:24" ht="12.6" thickBot="1" x14ac:dyDescent="0.3">
      <c r="E2" s="442"/>
      <c r="F2" s="1404" t="s">
        <v>2</v>
      </c>
      <c r="G2" s="1404"/>
      <c r="H2" s="1404"/>
      <c r="I2" s="1404"/>
      <c r="J2" s="1404"/>
      <c r="K2" s="1404"/>
      <c r="L2" s="1404"/>
      <c r="M2" s="1404"/>
      <c r="N2" s="1404"/>
      <c r="O2" s="1404"/>
      <c r="P2" s="1404"/>
      <c r="Q2" s="1404"/>
      <c r="R2" s="443"/>
      <c r="S2" s="1393" t="s">
        <v>3</v>
      </c>
      <c r="T2" s="1393"/>
      <c r="U2" s="1394"/>
    </row>
    <row r="3" spans="1:24" ht="12.6" thickBot="1" x14ac:dyDescent="0.3">
      <c r="E3" s="444"/>
      <c r="F3" s="1392" t="s">
        <v>4</v>
      </c>
      <c r="G3" s="1392"/>
      <c r="H3" s="1392"/>
      <c r="I3" s="1392"/>
      <c r="J3" s="1392"/>
      <c r="K3" s="1392"/>
      <c r="L3" s="1392"/>
      <c r="M3" s="1392"/>
      <c r="N3" s="1392"/>
      <c r="O3" s="1392"/>
      <c r="P3" s="1392"/>
      <c r="Q3" s="1392"/>
      <c r="R3" s="445"/>
      <c r="S3" s="1393" t="s">
        <v>5</v>
      </c>
      <c r="T3" s="1393"/>
      <c r="U3" s="1394"/>
    </row>
    <row r="4" spans="1:24" ht="12.6" thickBot="1" x14ac:dyDescent="0.3">
      <c r="C4" s="446"/>
      <c r="D4" s="9" t="s">
        <v>6</v>
      </c>
      <c r="F4" s="1392" t="s">
        <v>39</v>
      </c>
      <c r="G4" s="1392"/>
      <c r="H4" s="1392"/>
      <c r="I4" s="1392"/>
      <c r="J4" s="1392"/>
      <c r="K4" s="1392"/>
      <c r="L4" s="1392"/>
      <c r="M4" s="1392"/>
      <c r="N4" s="1392"/>
      <c r="O4" s="1392"/>
      <c r="P4" s="1392"/>
      <c r="Q4" s="1392"/>
      <c r="R4" s="447"/>
      <c r="S4" s="1393" t="s">
        <v>7</v>
      </c>
      <c r="T4" s="1393"/>
      <c r="U4" s="1394"/>
    </row>
    <row r="6" spans="1:24" ht="12.6" thickBot="1" x14ac:dyDescent="0.3"/>
    <row r="7" spans="1:24" ht="12.6" thickBot="1" x14ac:dyDescent="0.3">
      <c r="B7" s="10" t="s">
        <v>9</v>
      </c>
      <c r="C7" s="11" t="s">
        <v>10</v>
      </c>
      <c r="D7" s="448" t="s">
        <v>11</v>
      </c>
      <c r="E7" s="14" t="s">
        <v>12</v>
      </c>
      <c r="F7" s="92" t="s">
        <v>13</v>
      </c>
      <c r="G7" s="92" t="s">
        <v>14</v>
      </c>
      <c r="H7" s="93" t="s">
        <v>15</v>
      </c>
      <c r="I7" s="20" t="s">
        <v>16</v>
      </c>
      <c r="J7" s="21" t="s">
        <v>15</v>
      </c>
      <c r="K7" s="22" t="s">
        <v>14</v>
      </c>
      <c r="L7" s="17" t="s">
        <v>17</v>
      </c>
      <c r="M7" s="18" t="s">
        <v>15</v>
      </c>
      <c r="N7" s="19" t="s">
        <v>14</v>
      </c>
      <c r="O7" s="26" t="s">
        <v>18</v>
      </c>
      <c r="P7" s="27" t="s">
        <v>15</v>
      </c>
      <c r="Q7" s="28" t="s">
        <v>14</v>
      </c>
      <c r="R7" s="23" t="s">
        <v>19</v>
      </c>
      <c r="S7" s="24" t="s">
        <v>15</v>
      </c>
      <c r="T7" s="25" t="s">
        <v>14</v>
      </c>
      <c r="U7" s="449" t="s">
        <v>20</v>
      </c>
      <c r="V7" s="450" t="s">
        <v>21</v>
      </c>
      <c r="W7" s="451" t="s">
        <v>22</v>
      </c>
      <c r="X7" s="451" t="s">
        <v>38</v>
      </c>
    </row>
    <row r="8" spans="1:24" s="465" customFormat="1" ht="24.6" thickBot="1" x14ac:dyDescent="0.35">
      <c r="A8" s="197" t="s">
        <v>147</v>
      </c>
      <c r="B8" s="452"/>
      <c r="C8" s="138"/>
      <c r="D8" s="453" t="s">
        <v>60</v>
      </c>
      <c r="E8" s="454" t="s">
        <v>54</v>
      </c>
      <c r="F8" s="455">
        <v>1800</v>
      </c>
      <c r="G8" s="456">
        <v>2813960418</v>
      </c>
      <c r="H8" s="457">
        <v>45636</v>
      </c>
      <c r="I8" s="458">
        <v>2590</v>
      </c>
      <c r="J8" s="459">
        <v>45636</v>
      </c>
      <c r="K8" s="460">
        <v>2814043004</v>
      </c>
      <c r="L8" s="458">
        <v>2990</v>
      </c>
      <c r="M8" s="459">
        <v>45636</v>
      </c>
      <c r="N8" s="460">
        <v>2814114112</v>
      </c>
      <c r="O8" s="458">
        <v>6200</v>
      </c>
      <c r="P8" s="459">
        <v>45797</v>
      </c>
      <c r="Q8" s="460">
        <v>6736479464</v>
      </c>
      <c r="R8" s="458"/>
      <c r="S8" s="459"/>
      <c r="T8" s="460"/>
      <c r="U8" s="461"/>
      <c r="V8" s="462"/>
      <c r="W8" s="463"/>
      <c r="X8" s="464"/>
    </row>
    <row r="9" spans="1:24" s="465" customFormat="1" ht="30" customHeight="1" thickBot="1" x14ac:dyDescent="0.35">
      <c r="A9" s="197" t="s">
        <v>207</v>
      </c>
      <c r="B9" s="452"/>
      <c r="C9" s="138"/>
      <c r="D9" s="453" t="s">
        <v>203</v>
      </c>
      <c r="E9" s="454" t="s">
        <v>195</v>
      </c>
      <c r="F9" s="466">
        <v>1800</v>
      </c>
      <c r="G9" s="467">
        <v>250623</v>
      </c>
      <c r="H9" s="468">
        <v>45831</v>
      </c>
      <c r="I9" s="458">
        <v>2590</v>
      </c>
      <c r="J9" s="459">
        <v>45831</v>
      </c>
      <c r="K9" s="460">
        <v>250623</v>
      </c>
      <c r="L9" s="458">
        <v>2990</v>
      </c>
      <c r="M9" s="459">
        <v>45831</v>
      </c>
      <c r="N9" s="460">
        <v>250623</v>
      </c>
      <c r="O9" s="458">
        <v>6200</v>
      </c>
      <c r="P9" s="459">
        <v>45831</v>
      </c>
      <c r="Q9" s="460">
        <v>250623</v>
      </c>
      <c r="R9" s="458"/>
      <c r="S9" s="459"/>
      <c r="T9" s="460"/>
      <c r="U9" s="461"/>
      <c r="V9" s="462"/>
      <c r="W9" s="463"/>
      <c r="X9" s="464"/>
    </row>
    <row r="10" spans="1:24" s="465" customFormat="1" ht="13.8" thickBot="1" x14ac:dyDescent="0.35">
      <c r="A10" s="197" t="s">
        <v>208</v>
      </c>
      <c r="B10" s="452"/>
      <c r="C10" s="138"/>
      <c r="D10" s="453" t="s">
        <v>204</v>
      </c>
      <c r="E10" s="454" t="s">
        <v>195</v>
      </c>
      <c r="F10" s="469">
        <v>1800</v>
      </c>
      <c r="G10" s="470">
        <v>33028</v>
      </c>
      <c r="H10" s="471">
        <v>45835</v>
      </c>
      <c r="I10" s="458">
        <v>2590</v>
      </c>
      <c r="J10" s="459">
        <v>45835</v>
      </c>
      <c r="K10" s="472">
        <v>33028</v>
      </c>
      <c r="L10" s="458">
        <v>2990</v>
      </c>
      <c r="M10" s="459">
        <v>45835</v>
      </c>
      <c r="N10" s="472">
        <v>33028</v>
      </c>
      <c r="O10" s="458">
        <v>6200</v>
      </c>
      <c r="P10" s="459">
        <v>45874</v>
      </c>
      <c r="Q10" s="460" t="s">
        <v>440</v>
      </c>
      <c r="R10" s="458"/>
      <c r="S10" s="459"/>
      <c r="T10" s="472"/>
      <c r="U10" s="461" t="s">
        <v>211</v>
      </c>
      <c r="V10" s="462">
        <v>0.2</v>
      </c>
      <c r="W10" s="463">
        <v>3685</v>
      </c>
      <c r="X10" s="464">
        <v>3058</v>
      </c>
    </row>
    <row r="11" spans="1:24" s="465" customFormat="1" ht="22.8" x14ac:dyDescent="0.3">
      <c r="A11" s="197" t="s">
        <v>291</v>
      </c>
      <c r="B11" s="473"/>
      <c r="C11" s="138"/>
      <c r="D11" s="453" t="s">
        <v>290</v>
      </c>
      <c r="E11" s="454" t="s">
        <v>195</v>
      </c>
      <c r="F11" s="469" t="s">
        <v>66</v>
      </c>
      <c r="G11" s="469" t="s">
        <v>66</v>
      </c>
      <c r="H11" s="471">
        <v>45866</v>
      </c>
      <c r="I11" s="458">
        <v>2590</v>
      </c>
      <c r="J11" s="459">
        <v>45866</v>
      </c>
      <c r="K11" s="472">
        <v>76790595</v>
      </c>
      <c r="L11" s="458">
        <v>2990</v>
      </c>
      <c r="M11" s="459">
        <v>45866</v>
      </c>
      <c r="N11" s="460">
        <v>76790595</v>
      </c>
      <c r="O11" s="458">
        <v>2000</v>
      </c>
      <c r="P11" s="459">
        <v>45920</v>
      </c>
      <c r="Q11" s="460">
        <v>35001304</v>
      </c>
      <c r="R11" s="458"/>
      <c r="S11" s="459"/>
      <c r="T11" s="460"/>
      <c r="U11" s="461"/>
      <c r="V11" s="462"/>
      <c r="W11" s="463"/>
      <c r="X11" s="464"/>
    </row>
    <row r="12" spans="1:24" s="465" customFormat="1" ht="13.2" x14ac:dyDescent="0.3">
      <c r="A12" s="197"/>
      <c r="B12" s="473"/>
      <c r="C12" s="138"/>
      <c r="D12" s="453"/>
      <c r="E12" s="454"/>
      <c r="F12" s="469"/>
      <c r="G12" s="469"/>
      <c r="H12" s="469"/>
      <c r="I12" s="458"/>
      <c r="J12" s="459"/>
      <c r="K12" s="472"/>
      <c r="L12" s="458"/>
      <c r="M12" s="459"/>
      <c r="N12" s="472"/>
      <c r="O12" s="458"/>
      <c r="P12" s="459"/>
      <c r="Q12" s="460"/>
      <c r="R12" s="458"/>
      <c r="S12" s="459"/>
      <c r="T12" s="460"/>
      <c r="U12" s="461"/>
      <c r="V12" s="462"/>
      <c r="W12" s="463"/>
      <c r="X12" s="464"/>
    </row>
    <row r="13" spans="1:24" s="465" customFormat="1" ht="13.2" x14ac:dyDescent="0.3">
      <c r="A13" s="197"/>
      <c r="B13" s="473"/>
      <c r="C13" s="138"/>
      <c r="D13" s="453"/>
      <c r="E13" s="454"/>
      <c r="F13" s="469"/>
      <c r="G13" s="469"/>
      <c r="H13" s="469"/>
      <c r="I13" s="458"/>
      <c r="J13" s="459"/>
      <c r="K13" s="460"/>
      <c r="L13" s="458"/>
      <c r="M13" s="459"/>
      <c r="N13" s="460"/>
      <c r="O13" s="458"/>
      <c r="P13" s="459"/>
      <c r="Q13" s="460"/>
      <c r="R13" s="458"/>
      <c r="S13" s="459"/>
      <c r="T13" s="460"/>
      <c r="U13" s="461"/>
      <c r="V13" s="462"/>
      <c r="W13" s="463"/>
      <c r="X13" s="464"/>
    </row>
    <row r="14" spans="1:24" s="465" customFormat="1" ht="13.2" x14ac:dyDescent="0.3">
      <c r="A14" s="197"/>
      <c r="B14" s="473"/>
      <c r="C14" s="138"/>
      <c r="D14" s="453"/>
      <c r="E14" s="454"/>
      <c r="F14" s="474"/>
      <c r="G14" s="474"/>
      <c r="H14" s="474"/>
      <c r="I14" s="458"/>
      <c r="J14" s="459"/>
      <c r="K14" s="460"/>
      <c r="L14" s="458"/>
      <c r="M14" s="459"/>
      <c r="N14" s="460"/>
      <c r="O14" s="458"/>
      <c r="P14" s="459"/>
      <c r="Q14" s="460"/>
      <c r="R14" s="458"/>
      <c r="S14" s="459"/>
      <c r="T14" s="460"/>
      <c r="U14" s="461"/>
      <c r="V14" s="475"/>
      <c r="W14" s="463"/>
      <c r="X14" s="464"/>
    </row>
    <row r="15" spans="1:24" s="465" customFormat="1" ht="13.2" x14ac:dyDescent="0.3">
      <c r="A15" s="197"/>
      <c r="B15" s="286"/>
      <c r="C15" s="138"/>
      <c r="D15" s="453"/>
      <c r="E15" s="454"/>
      <c r="F15" s="476"/>
      <c r="G15" s="476"/>
      <c r="H15" s="476"/>
      <c r="I15" s="458"/>
      <c r="J15" s="459"/>
      <c r="K15" s="460"/>
      <c r="L15" s="458"/>
      <c r="M15" s="459"/>
      <c r="N15" s="460"/>
      <c r="O15" s="458"/>
      <c r="P15" s="459"/>
      <c r="Q15" s="460"/>
      <c r="R15" s="458"/>
      <c r="S15" s="459"/>
      <c r="T15" s="460"/>
      <c r="U15" s="461"/>
      <c r="V15" s="462"/>
      <c r="W15" s="463"/>
      <c r="X15" s="464"/>
    </row>
    <row r="16" spans="1:24" s="465" customFormat="1" ht="13.2" x14ac:dyDescent="0.3">
      <c r="A16" s="197"/>
      <c r="B16" s="286"/>
      <c r="C16" s="138"/>
      <c r="D16" s="453"/>
      <c r="E16" s="454"/>
      <c r="F16" s="474"/>
      <c r="G16" s="474"/>
      <c r="H16" s="474"/>
      <c r="I16" s="458"/>
      <c r="J16" s="459"/>
      <c r="K16" s="460"/>
      <c r="L16" s="458"/>
      <c r="M16" s="459"/>
      <c r="N16" s="460"/>
      <c r="O16" s="458"/>
      <c r="P16" s="459"/>
      <c r="Q16" s="460"/>
      <c r="R16" s="458"/>
      <c r="S16" s="459"/>
      <c r="T16" s="460"/>
      <c r="U16" s="461"/>
      <c r="V16" s="475"/>
      <c r="W16" s="463"/>
      <c r="X16" s="464"/>
    </row>
    <row r="17" spans="1:40" s="465" customFormat="1" ht="13.2" x14ac:dyDescent="0.3">
      <c r="A17" s="197"/>
      <c r="B17" s="286"/>
      <c r="C17" s="138"/>
      <c r="D17" s="453"/>
      <c r="E17" s="454"/>
      <c r="F17" s="474"/>
      <c r="G17" s="474"/>
      <c r="H17" s="474"/>
      <c r="I17" s="458"/>
      <c r="J17" s="461"/>
      <c r="K17" s="460"/>
      <c r="L17" s="458"/>
      <c r="M17" s="459"/>
      <c r="N17" s="460"/>
      <c r="O17" s="458"/>
      <c r="P17" s="459"/>
      <c r="Q17" s="460"/>
      <c r="R17" s="458"/>
      <c r="S17" s="459"/>
      <c r="T17" s="460"/>
      <c r="U17" s="461"/>
      <c r="V17" s="475"/>
      <c r="W17" s="463"/>
      <c r="X17" s="464"/>
    </row>
    <row r="18" spans="1:40" s="484" customFormat="1" ht="13.2" x14ac:dyDescent="0.3">
      <c r="A18" s="187"/>
      <c r="B18" s="286"/>
      <c r="C18" s="222"/>
      <c r="D18" s="453"/>
      <c r="E18" s="454"/>
      <c r="F18" s="477"/>
      <c r="G18" s="477"/>
      <c r="H18" s="477"/>
      <c r="I18" s="478"/>
      <c r="J18" s="479"/>
      <c r="K18" s="480"/>
      <c r="L18" s="478"/>
      <c r="M18" s="481"/>
      <c r="N18" s="480"/>
      <c r="O18" s="478"/>
      <c r="P18" s="479"/>
      <c r="Q18" s="480"/>
      <c r="R18" s="478"/>
      <c r="S18" s="479"/>
      <c r="T18" s="480"/>
      <c r="U18" s="479"/>
      <c r="V18" s="479"/>
      <c r="W18" s="482"/>
      <c r="X18" s="483"/>
    </row>
    <row r="19" spans="1:40" s="465" customFormat="1" ht="13.2" x14ac:dyDescent="0.3">
      <c r="A19" s="197"/>
      <c r="B19" s="286"/>
      <c r="C19" s="138"/>
      <c r="D19" s="453"/>
      <c r="E19" s="454"/>
      <c r="F19" s="474"/>
      <c r="G19" s="474"/>
      <c r="H19" s="474"/>
      <c r="I19" s="458"/>
      <c r="J19" s="459"/>
      <c r="K19" s="460"/>
      <c r="L19" s="458"/>
      <c r="M19" s="459"/>
      <c r="N19" s="460"/>
      <c r="O19" s="458"/>
      <c r="P19" s="459"/>
      <c r="Q19" s="460"/>
      <c r="R19" s="458"/>
      <c r="S19" s="459"/>
      <c r="T19" s="460"/>
      <c r="U19" s="461"/>
      <c r="V19" s="475"/>
      <c r="W19" s="463"/>
      <c r="X19" s="464"/>
    </row>
    <row r="20" spans="1:40" s="465" customFormat="1" ht="13.2" x14ac:dyDescent="0.3">
      <c r="A20" s="197"/>
      <c r="B20" s="286"/>
      <c r="C20" s="138"/>
      <c r="D20" s="453"/>
      <c r="E20" s="454"/>
      <c r="F20" s="474"/>
      <c r="G20" s="474"/>
      <c r="H20" s="474"/>
      <c r="I20" s="458"/>
      <c r="J20" s="459"/>
      <c r="K20" s="460"/>
      <c r="L20" s="458"/>
      <c r="M20" s="459"/>
      <c r="N20" s="460"/>
      <c r="O20" s="458"/>
      <c r="P20" s="459"/>
      <c r="Q20" s="460"/>
      <c r="R20" s="458"/>
      <c r="S20" s="485"/>
      <c r="T20" s="486"/>
      <c r="U20" s="461"/>
      <c r="V20" s="475"/>
      <c r="W20" s="463"/>
      <c r="X20" s="464"/>
    </row>
    <row r="21" spans="1:40" s="465" customFormat="1" ht="13.2" x14ac:dyDescent="0.3">
      <c r="A21" s="197"/>
      <c r="B21" s="286"/>
      <c r="C21" s="138"/>
      <c r="D21" s="453"/>
      <c r="E21" s="454"/>
      <c r="F21" s="474"/>
      <c r="G21" s="474"/>
      <c r="H21" s="474"/>
      <c r="I21" s="458"/>
      <c r="J21" s="459"/>
      <c r="K21" s="460"/>
      <c r="L21" s="458"/>
      <c r="M21" s="459"/>
      <c r="N21" s="460"/>
      <c r="O21" s="458"/>
      <c r="P21" s="459"/>
      <c r="Q21" s="460"/>
      <c r="R21" s="458"/>
      <c r="S21" s="461"/>
      <c r="T21" s="460"/>
      <c r="U21" s="461"/>
      <c r="V21" s="475"/>
      <c r="W21" s="463"/>
      <c r="X21" s="464"/>
    </row>
    <row r="22" spans="1:40" s="465" customFormat="1" ht="13.2" x14ac:dyDescent="0.3">
      <c r="A22" s="197"/>
      <c r="B22" s="286"/>
      <c r="C22" s="138"/>
      <c r="D22" s="453"/>
      <c r="E22" s="454"/>
      <c r="F22" s="474"/>
      <c r="G22" s="474"/>
      <c r="H22" s="474"/>
      <c r="I22" s="458"/>
      <c r="J22" s="459"/>
      <c r="K22" s="460"/>
      <c r="L22" s="458"/>
      <c r="M22" s="459"/>
      <c r="N22" s="460"/>
      <c r="O22" s="458"/>
      <c r="P22" s="459"/>
      <c r="Q22" s="460"/>
      <c r="R22" s="458"/>
      <c r="S22" s="461"/>
      <c r="T22" s="460"/>
      <c r="U22" s="461"/>
      <c r="V22" s="462"/>
      <c r="W22" s="463"/>
      <c r="X22" s="464"/>
    </row>
    <row r="23" spans="1:40" s="465" customFormat="1" ht="13.2" x14ac:dyDescent="0.3">
      <c r="A23" s="197"/>
      <c r="B23" s="286"/>
      <c r="C23" s="138"/>
      <c r="D23" s="453"/>
      <c r="E23" s="454"/>
      <c r="F23" s="474"/>
      <c r="G23" s="474"/>
      <c r="H23" s="474"/>
      <c r="I23" s="458"/>
      <c r="J23" s="459"/>
      <c r="K23" s="460"/>
      <c r="L23" s="458"/>
      <c r="M23" s="459"/>
      <c r="N23" s="460"/>
      <c r="O23" s="458"/>
      <c r="P23" s="459"/>
      <c r="Q23" s="460"/>
      <c r="R23" s="458"/>
      <c r="S23" s="459"/>
      <c r="T23" s="460"/>
      <c r="U23" s="461"/>
      <c r="V23" s="462"/>
      <c r="W23" s="463"/>
      <c r="X23" s="464"/>
    </row>
    <row r="24" spans="1:40" s="465" customFormat="1" ht="13.8" thickBot="1" x14ac:dyDescent="0.35">
      <c r="A24" s="197"/>
      <c r="B24" s="286"/>
      <c r="C24" s="147"/>
      <c r="D24" s="487"/>
      <c r="E24" s="488"/>
      <c r="F24" s="474"/>
      <c r="G24" s="474"/>
      <c r="H24" s="474"/>
      <c r="I24" s="489"/>
      <c r="J24" s="490"/>
      <c r="K24" s="491"/>
      <c r="L24" s="489"/>
      <c r="M24" s="490"/>
      <c r="N24" s="491"/>
      <c r="O24" s="489"/>
      <c r="P24" s="490"/>
      <c r="Q24" s="491"/>
      <c r="R24" s="489"/>
      <c r="S24" s="490"/>
      <c r="T24" s="491"/>
      <c r="U24" s="492"/>
      <c r="V24" s="493"/>
      <c r="W24" s="494"/>
      <c r="X24" s="495"/>
    </row>
    <row r="28" spans="1:40" ht="12.6" thickBot="1" x14ac:dyDescent="0.3"/>
    <row r="29" spans="1:40" ht="12.6" thickBot="1" x14ac:dyDescent="0.3">
      <c r="B29" s="1395" t="s">
        <v>24</v>
      </c>
      <c r="C29" s="1396"/>
      <c r="D29" s="1396"/>
      <c r="E29" s="1396"/>
      <c r="F29" s="1396"/>
      <c r="G29" s="1396"/>
      <c r="H29" s="1396"/>
      <c r="I29" s="1396"/>
      <c r="J29" s="1396"/>
      <c r="K29" s="1396"/>
      <c r="L29" s="1396"/>
      <c r="M29" s="1396"/>
      <c r="N29" s="1396"/>
      <c r="O29" s="1396"/>
      <c r="P29" s="1396"/>
      <c r="Q29" s="1396"/>
      <c r="R29" s="1396"/>
      <c r="S29" s="1396"/>
      <c r="T29" s="1396"/>
      <c r="U29" s="1396"/>
      <c r="V29" s="1396"/>
      <c r="W29" s="1396"/>
      <c r="X29" s="1396"/>
      <c r="Y29" s="1396"/>
      <c r="Z29" s="1396"/>
      <c r="AA29" s="1396"/>
      <c r="AB29" s="1396"/>
      <c r="AC29" s="1396"/>
      <c r="AD29" s="1396"/>
      <c r="AE29" s="1396"/>
      <c r="AF29" s="1396"/>
      <c r="AG29" s="1396"/>
      <c r="AH29" s="1396"/>
      <c r="AI29" s="1396"/>
      <c r="AJ29" s="1396"/>
      <c r="AK29" s="1396"/>
      <c r="AL29" s="1396"/>
      <c r="AM29" s="1396"/>
      <c r="AN29" s="1397"/>
    </row>
    <row r="30" spans="1:40" ht="12.6" thickBot="1" x14ac:dyDescent="0.3">
      <c r="B30" s="496" t="s">
        <v>9</v>
      </c>
      <c r="C30" s="497" t="s">
        <v>10</v>
      </c>
      <c r="D30" s="496" t="s">
        <v>11</v>
      </c>
      <c r="E30" s="1398" t="s">
        <v>25</v>
      </c>
      <c r="F30" s="1399"/>
      <c r="G30" s="1400"/>
      <c r="H30" s="1401" t="s">
        <v>26</v>
      </c>
      <c r="I30" s="1401"/>
      <c r="J30" s="1401"/>
      <c r="K30" s="1398" t="s">
        <v>27</v>
      </c>
      <c r="L30" s="1399"/>
      <c r="M30" s="1400"/>
      <c r="N30" s="1401" t="s">
        <v>28</v>
      </c>
      <c r="O30" s="1401"/>
      <c r="P30" s="1401"/>
      <c r="Q30" s="1398" t="s">
        <v>29</v>
      </c>
      <c r="R30" s="1399"/>
      <c r="S30" s="1400"/>
      <c r="T30" s="1401" t="s">
        <v>30</v>
      </c>
      <c r="U30" s="1401"/>
      <c r="V30" s="1401"/>
      <c r="W30" s="1398" t="s">
        <v>36</v>
      </c>
      <c r="X30" s="1399"/>
      <c r="Y30" s="1400"/>
      <c r="Z30" s="1401" t="s">
        <v>31</v>
      </c>
      <c r="AA30" s="1401"/>
      <c r="AB30" s="1401"/>
      <c r="AC30" s="1398" t="s">
        <v>32</v>
      </c>
      <c r="AD30" s="1399"/>
      <c r="AE30" s="1400"/>
      <c r="AF30" s="1401" t="s">
        <v>33</v>
      </c>
      <c r="AG30" s="1401"/>
      <c r="AH30" s="1401"/>
      <c r="AI30" s="1398" t="s">
        <v>34</v>
      </c>
      <c r="AJ30" s="1399"/>
      <c r="AK30" s="1400"/>
      <c r="AL30" s="1401" t="s">
        <v>35</v>
      </c>
      <c r="AM30" s="1401"/>
      <c r="AN30" s="1402"/>
    </row>
    <row r="31" spans="1:40" ht="12.6" thickBot="1" x14ac:dyDescent="0.3">
      <c r="B31" s="498"/>
      <c r="C31" s="452"/>
      <c r="D31" s="452"/>
      <c r="E31" s="499" t="s">
        <v>37</v>
      </c>
      <c r="F31" s="500" t="s">
        <v>15</v>
      </c>
      <c r="G31" s="501" t="s">
        <v>14</v>
      </c>
      <c r="H31" s="500" t="s">
        <v>37</v>
      </c>
      <c r="I31" s="500" t="s">
        <v>15</v>
      </c>
      <c r="J31" s="500" t="s">
        <v>14</v>
      </c>
      <c r="K31" s="499" t="s">
        <v>37</v>
      </c>
      <c r="L31" s="500" t="s">
        <v>15</v>
      </c>
      <c r="M31" s="501" t="s">
        <v>14</v>
      </c>
      <c r="N31" s="500" t="s">
        <v>37</v>
      </c>
      <c r="O31" s="500" t="s">
        <v>15</v>
      </c>
      <c r="P31" s="500" t="s">
        <v>14</v>
      </c>
      <c r="Q31" s="499" t="s">
        <v>37</v>
      </c>
      <c r="R31" s="500" t="s">
        <v>15</v>
      </c>
      <c r="S31" s="501" t="s">
        <v>14</v>
      </c>
      <c r="T31" s="500" t="s">
        <v>37</v>
      </c>
      <c r="U31" s="500" t="s">
        <v>15</v>
      </c>
      <c r="V31" s="500" t="s">
        <v>14</v>
      </c>
      <c r="W31" s="499" t="s">
        <v>37</v>
      </c>
      <c r="X31" s="500" t="s">
        <v>15</v>
      </c>
      <c r="Y31" s="501" t="s">
        <v>14</v>
      </c>
      <c r="Z31" s="500" t="s">
        <v>37</v>
      </c>
      <c r="AA31" s="500" t="s">
        <v>15</v>
      </c>
      <c r="AB31" s="500" t="s">
        <v>14</v>
      </c>
      <c r="AC31" s="499" t="s">
        <v>37</v>
      </c>
      <c r="AD31" s="500" t="s">
        <v>15</v>
      </c>
      <c r="AE31" s="501" t="s">
        <v>14</v>
      </c>
      <c r="AF31" s="500" t="s">
        <v>37</v>
      </c>
      <c r="AG31" s="500" t="s">
        <v>15</v>
      </c>
      <c r="AH31" s="500" t="s">
        <v>14</v>
      </c>
      <c r="AI31" s="499" t="s">
        <v>37</v>
      </c>
      <c r="AJ31" s="500" t="s">
        <v>15</v>
      </c>
      <c r="AK31" s="501" t="s">
        <v>14</v>
      </c>
      <c r="AL31" s="500" t="s">
        <v>37</v>
      </c>
      <c r="AM31" s="500" t="s">
        <v>15</v>
      </c>
      <c r="AN31" s="501" t="s">
        <v>14</v>
      </c>
    </row>
    <row r="32" spans="1:40" s="465" customFormat="1" ht="23.4" thickBot="1" x14ac:dyDescent="0.35">
      <c r="A32" s="197"/>
      <c r="B32" s="285"/>
      <c r="C32" s="132"/>
      <c r="D32" s="186" t="str">
        <f>D8</f>
        <v>ANA ISABEL RODRIGUEZ CASTILLO</v>
      </c>
      <c r="E32" s="502"/>
      <c r="F32" s="503"/>
      <c r="G32" s="504"/>
      <c r="H32" s="505">
        <v>3245</v>
      </c>
      <c r="I32" s="506">
        <v>45782</v>
      </c>
      <c r="J32" s="507">
        <v>48922771</v>
      </c>
      <c r="K32" s="505">
        <v>3245</v>
      </c>
      <c r="L32" s="506">
        <v>45935</v>
      </c>
      <c r="M32" s="507">
        <v>54896213</v>
      </c>
      <c r="N32" s="505">
        <v>3245</v>
      </c>
      <c r="O32" s="506">
        <v>45966</v>
      </c>
      <c r="P32" s="507">
        <v>89785461</v>
      </c>
      <c r="Q32" s="505">
        <v>3245</v>
      </c>
      <c r="R32" s="506">
        <v>45992</v>
      </c>
      <c r="S32" s="507">
        <v>89312066</v>
      </c>
      <c r="T32" s="505">
        <v>3245</v>
      </c>
      <c r="U32" s="506">
        <v>46023</v>
      </c>
      <c r="V32" s="507">
        <v>77361689</v>
      </c>
      <c r="W32" s="508"/>
      <c r="X32" s="503"/>
      <c r="Y32" s="504"/>
      <c r="Z32" s="505">
        <v>3245</v>
      </c>
      <c r="AA32" s="509">
        <v>46054</v>
      </c>
      <c r="AB32" s="510">
        <v>54789621</v>
      </c>
      <c r="AC32" s="505">
        <v>3245</v>
      </c>
      <c r="AD32" s="509">
        <v>46085</v>
      </c>
      <c r="AE32" s="510">
        <v>325489760</v>
      </c>
      <c r="AF32" s="505">
        <v>3245</v>
      </c>
      <c r="AG32" s="509">
        <v>46113</v>
      </c>
      <c r="AH32" s="510">
        <v>4578962314</v>
      </c>
      <c r="AI32" s="505">
        <v>3245</v>
      </c>
      <c r="AJ32" s="509">
        <v>46147</v>
      </c>
      <c r="AK32" s="510">
        <v>25992592</v>
      </c>
      <c r="AL32" s="505">
        <v>3245</v>
      </c>
      <c r="AM32" s="509">
        <v>46179</v>
      </c>
      <c r="AN32" s="507">
        <v>46351542</v>
      </c>
    </row>
    <row r="33" spans="1:40" s="465" customFormat="1" ht="24" customHeight="1" thickBot="1" x14ac:dyDescent="0.35">
      <c r="A33" s="197"/>
      <c r="B33" s="452"/>
      <c r="C33" s="138" t="s">
        <v>441</v>
      </c>
      <c r="D33" s="186" t="str">
        <f t="shared" ref="D33:D35" si="0">D9</f>
        <v>ABRIL YATZIL CRUZ ARIZPE</v>
      </c>
      <c r="E33" s="511"/>
      <c r="F33" s="512"/>
      <c r="G33" s="513"/>
      <c r="H33" s="514">
        <v>3245</v>
      </c>
      <c r="I33" s="459">
        <v>45638</v>
      </c>
      <c r="J33" s="515" t="s">
        <v>439</v>
      </c>
      <c r="K33" s="514">
        <v>3245</v>
      </c>
      <c r="L33" s="459">
        <v>45638</v>
      </c>
      <c r="M33" s="515" t="s">
        <v>449</v>
      </c>
      <c r="N33" s="514">
        <v>3245</v>
      </c>
      <c r="O33" s="459">
        <v>45638</v>
      </c>
      <c r="P33" s="515" t="s">
        <v>439</v>
      </c>
      <c r="Q33" s="514">
        <v>3245</v>
      </c>
      <c r="R33" s="459">
        <v>45638</v>
      </c>
      <c r="S33" s="515" t="s">
        <v>439</v>
      </c>
      <c r="T33" s="514">
        <v>3245</v>
      </c>
      <c r="U33" s="459">
        <v>45638</v>
      </c>
      <c r="V33" s="515" t="s">
        <v>439</v>
      </c>
      <c r="W33" s="516"/>
      <c r="X33" s="512"/>
      <c r="Y33" s="513"/>
      <c r="Z33" s="514">
        <v>3245</v>
      </c>
      <c r="AA33" s="459">
        <v>45638</v>
      </c>
      <c r="AB33" s="517" t="s">
        <v>439</v>
      </c>
      <c r="AC33" s="514">
        <v>3245</v>
      </c>
      <c r="AD33" s="459">
        <v>45638</v>
      </c>
      <c r="AE33" s="517" t="s">
        <v>439</v>
      </c>
      <c r="AF33" s="514">
        <v>3245</v>
      </c>
      <c r="AG33" s="459">
        <v>45638</v>
      </c>
      <c r="AH33" s="517" t="s">
        <v>439</v>
      </c>
      <c r="AI33" s="514">
        <v>3245</v>
      </c>
      <c r="AJ33" s="459">
        <v>45638</v>
      </c>
      <c r="AK33" s="517" t="s">
        <v>439</v>
      </c>
      <c r="AL33" s="514"/>
      <c r="AM33" s="459"/>
      <c r="AN33" s="515"/>
    </row>
    <row r="34" spans="1:40" s="465" customFormat="1" ht="13.8" thickBot="1" x14ac:dyDescent="0.35">
      <c r="A34" s="197"/>
      <c r="B34" s="452"/>
      <c r="C34" s="138"/>
      <c r="D34" s="186" t="str">
        <f t="shared" si="0"/>
        <v>NAHOMI CRUZ GOMEZ</v>
      </c>
      <c r="E34" s="511"/>
      <c r="F34" s="512"/>
      <c r="G34" s="513"/>
      <c r="H34" s="514">
        <v>3510</v>
      </c>
      <c r="I34" s="459">
        <v>45882</v>
      </c>
      <c r="J34" s="515">
        <v>5425312</v>
      </c>
      <c r="K34" s="514">
        <v>2606</v>
      </c>
      <c r="L34" s="459">
        <v>45905</v>
      </c>
      <c r="M34" s="515">
        <v>4925</v>
      </c>
      <c r="N34" s="514">
        <v>2606</v>
      </c>
      <c r="O34" s="459">
        <v>45931</v>
      </c>
      <c r="P34" s="515">
        <v>60969</v>
      </c>
      <c r="Q34" s="514">
        <v>2606</v>
      </c>
      <c r="R34" s="459">
        <v>45992</v>
      </c>
      <c r="S34" s="515">
        <v>4925</v>
      </c>
      <c r="T34" s="514">
        <v>2606</v>
      </c>
      <c r="U34" s="459">
        <v>46024</v>
      </c>
      <c r="V34" s="515">
        <v>4925</v>
      </c>
      <c r="W34" s="516"/>
      <c r="X34" s="512"/>
      <c r="Y34" s="513"/>
      <c r="Z34" s="514">
        <v>2606</v>
      </c>
      <c r="AA34" s="459">
        <v>46057</v>
      </c>
      <c r="AB34" s="517" t="s">
        <v>514</v>
      </c>
      <c r="AC34" s="514">
        <v>2606</v>
      </c>
      <c r="AD34" s="459">
        <v>46086</v>
      </c>
      <c r="AE34" s="517" t="s">
        <v>514</v>
      </c>
      <c r="AF34" s="514">
        <v>2606</v>
      </c>
      <c r="AG34" s="459">
        <v>46086</v>
      </c>
      <c r="AH34" s="517" t="s">
        <v>514</v>
      </c>
      <c r="AI34" s="514">
        <v>2606</v>
      </c>
      <c r="AJ34" s="459">
        <v>46146</v>
      </c>
      <c r="AK34" s="517" t="s">
        <v>519</v>
      </c>
      <c r="AL34" s="514">
        <v>2606</v>
      </c>
      <c r="AM34" s="459">
        <v>46174</v>
      </c>
      <c r="AN34" s="515" t="s">
        <v>809</v>
      </c>
    </row>
    <row r="35" spans="1:40" s="465" customFormat="1" ht="22.8" x14ac:dyDescent="0.3">
      <c r="A35" s="197"/>
      <c r="B35" s="286"/>
      <c r="C35" s="138"/>
      <c r="D35" s="186" t="str">
        <f t="shared" si="0"/>
        <v xml:space="preserve">IVANNA PAULINA ALCEDA GUILLEN </v>
      </c>
      <c r="E35" s="511"/>
      <c r="F35" s="512"/>
      <c r="G35" s="513"/>
      <c r="H35" s="514">
        <v>3640</v>
      </c>
      <c r="I35" s="459">
        <v>45905</v>
      </c>
      <c r="J35" s="515">
        <v>4364809</v>
      </c>
      <c r="K35" s="514">
        <v>3640</v>
      </c>
      <c r="L35" s="459">
        <v>45933</v>
      </c>
      <c r="M35" s="515">
        <v>57449043</v>
      </c>
      <c r="N35" s="514">
        <v>3640</v>
      </c>
      <c r="O35" s="459">
        <v>45962</v>
      </c>
      <c r="P35" s="515">
        <v>89674123</v>
      </c>
      <c r="Q35" s="514">
        <v>3640</v>
      </c>
      <c r="R35" s="459">
        <v>45996</v>
      </c>
      <c r="S35" s="515">
        <v>437909900</v>
      </c>
      <c r="T35" s="514">
        <v>3640</v>
      </c>
      <c r="U35" s="459">
        <v>46024</v>
      </c>
      <c r="V35" s="515">
        <v>11491603</v>
      </c>
      <c r="W35" s="516"/>
      <c r="X35" s="512"/>
      <c r="Y35" s="513"/>
      <c r="Z35" s="514">
        <v>3640</v>
      </c>
      <c r="AA35" s="459">
        <v>46058</v>
      </c>
      <c r="AB35" s="517">
        <v>75890577</v>
      </c>
      <c r="AC35" s="720">
        <v>3640</v>
      </c>
      <c r="AD35" s="1039">
        <v>46087</v>
      </c>
      <c r="AE35" s="1113">
        <v>56938363</v>
      </c>
      <c r="AF35" s="720">
        <v>4046</v>
      </c>
      <c r="AG35" s="1039">
        <v>46118</v>
      </c>
      <c r="AH35" s="1113">
        <v>87546213</v>
      </c>
      <c r="AI35" s="514">
        <v>3640</v>
      </c>
      <c r="AJ35" s="459">
        <v>46146</v>
      </c>
      <c r="AK35" s="517">
        <v>64175336</v>
      </c>
      <c r="AL35" s="514">
        <f>2000+1640</f>
        <v>3640</v>
      </c>
      <c r="AM35" s="459">
        <v>46178</v>
      </c>
      <c r="AN35" s="515">
        <v>22620137</v>
      </c>
    </row>
    <row r="36" spans="1:40" s="465" customFormat="1" ht="13.2" x14ac:dyDescent="0.3">
      <c r="A36" s="197"/>
      <c r="B36" s="286"/>
      <c r="C36" s="138"/>
      <c r="D36" s="186"/>
      <c r="E36" s="518"/>
      <c r="F36" s="459"/>
      <c r="G36" s="519"/>
      <c r="H36" s="514"/>
      <c r="I36" s="459"/>
      <c r="J36" s="519"/>
      <c r="K36" s="514"/>
      <c r="L36" s="459"/>
      <c r="M36" s="519"/>
      <c r="N36" s="514"/>
      <c r="O36" s="459"/>
      <c r="P36" s="519"/>
      <c r="Q36" s="514"/>
      <c r="R36" s="459"/>
      <c r="S36" s="519"/>
      <c r="T36" s="514"/>
      <c r="U36" s="459"/>
      <c r="V36" s="519"/>
      <c r="W36" s="514"/>
      <c r="X36" s="459"/>
      <c r="Y36" s="515"/>
      <c r="Z36" s="514"/>
      <c r="AA36" s="459"/>
      <c r="AB36" s="517"/>
      <c r="AC36" s="514"/>
      <c r="AD36" s="459"/>
      <c r="AE36" s="517"/>
      <c r="AF36" s="514"/>
      <c r="AG36" s="459"/>
      <c r="AH36" s="517"/>
      <c r="AI36" s="514"/>
      <c r="AJ36" s="459"/>
      <c r="AK36" s="517"/>
      <c r="AL36" s="514"/>
      <c r="AM36" s="459"/>
      <c r="AN36" s="515"/>
    </row>
    <row r="37" spans="1:40" s="465" customFormat="1" ht="13.2" x14ac:dyDescent="0.3">
      <c r="A37" s="197"/>
      <c r="B37" s="286"/>
      <c r="C37" s="138"/>
      <c r="D37" s="143"/>
      <c r="E37" s="518"/>
      <c r="F37" s="518"/>
      <c r="G37" s="518"/>
      <c r="H37" s="514"/>
      <c r="I37" s="459"/>
      <c r="J37" s="515"/>
      <c r="K37" s="514"/>
      <c r="L37" s="459"/>
      <c r="M37" s="515"/>
      <c r="N37" s="514"/>
      <c r="O37" s="459"/>
      <c r="P37" s="515"/>
      <c r="Q37" s="514"/>
      <c r="R37" s="459"/>
      <c r="S37" s="517"/>
      <c r="T37" s="514"/>
      <c r="U37" s="459"/>
      <c r="V37" s="517"/>
      <c r="W37" s="459"/>
      <c r="X37" s="459"/>
      <c r="Y37" s="459"/>
      <c r="Z37" s="514"/>
      <c r="AA37" s="459"/>
      <c r="AB37" s="517"/>
      <c r="AC37" s="514"/>
      <c r="AD37" s="459"/>
      <c r="AE37" s="517"/>
      <c r="AF37" s="514"/>
      <c r="AG37" s="459"/>
      <c r="AH37" s="517"/>
      <c r="AI37" s="514"/>
      <c r="AJ37" s="459"/>
      <c r="AK37" s="517"/>
      <c r="AL37" s="514"/>
      <c r="AM37" s="459"/>
      <c r="AN37" s="515"/>
    </row>
    <row r="38" spans="1:40" s="465" customFormat="1" ht="13.2" x14ac:dyDescent="0.3">
      <c r="A38" s="197"/>
      <c r="B38" s="287"/>
      <c r="C38" s="138"/>
      <c r="D38" s="143"/>
      <c r="E38" s="518"/>
      <c r="F38" s="518"/>
      <c r="G38" s="518"/>
      <c r="H38" s="514"/>
      <c r="I38" s="459"/>
      <c r="J38" s="520"/>
      <c r="K38" s="514"/>
      <c r="L38" s="459"/>
      <c r="M38" s="520"/>
      <c r="N38" s="514"/>
      <c r="O38" s="459"/>
      <c r="P38" s="520"/>
      <c r="Q38" s="514"/>
      <c r="R38" s="459"/>
      <c r="S38" s="520"/>
      <c r="T38" s="514"/>
      <c r="U38" s="459"/>
      <c r="V38" s="520"/>
      <c r="W38" s="514"/>
      <c r="X38" s="459"/>
      <c r="Y38" s="520"/>
      <c r="Z38" s="514"/>
      <c r="AA38" s="459"/>
      <c r="AB38" s="520"/>
      <c r="AC38" s="514"/>
      <c r="AD38" s="459"/>
      <c r="AE38" s="520"/>
      <c r="AF38" s="514"/>
      <c r="AG38" s="459"/>
      <c r="AH38" s="520"/>
      <c r="AI38" s="514"/>
      <c r="AJ38" s="459"/>
      <c r="AK38" s="520"/>
      <c r="AL38" s="514"/>
      <c r="AM38" s="459"/>
      <c r="AN38" s="515"/>
    </row>
    <row r="39" spans="1:40" s="465" customFormat="1" ht="32.25" customHeight="1" x14ac:dyDescent="0.3">
      <c r="A39" s="197"/>
      <c r="B39" s="286"/>
      <c r="C39" s="138"/>
      <c r="D39" s="143"/>
      <c r="E39" s="518"/>
      <c r="F39" s="518"/>
      <c r="G39" s="518"/>
      <c r="H39" s="514"/>
      <c r="I39" s="459"/>
      <c r="J39" s="515"/>
      <c r="K39" s="514"/>
      <c r="L39" s="459"/>
      <c r="M39" s="515"/>
      <c r="N39" s="514"/>
      <c r="O39" s="459"/>
      <c r="P39" s="515"/>
      <c r="Q39" s="514"/>
      <c r="R39" s="459"/>
      <c r="S39" s="515"/>
      <c r="T39" s="514"/>
      <c r="U39" s="459"/>
      <c r="V39" s="515"/>
      <c r="W39" s="514"/>
      <c r="X39" s="459"/>
      <c r="Y39" s="515"/>
      <c r="Z39" s="514"/>
      <c r="AA39" s="459"/>
      <c r="AB39" s="517"/>
      <c r="AC39" s="514"/>
      <c r="AD39" s="459"/>
      <c r="AE39" s="517"/>
      <c r="AF39" s="514"/>
      <c r="AG39" s="459"/>
      <c r="AH39" s="517"/>
      <c r="AI39" s="514"/>
      <c r="AJ39" s="459"/>
      <c r="AK39" s="517"/>
      <c r="AL39" s="514"/>
      <c r="AM39" s="459"/>
      <c r="AN39" s="515"/>
    </row>
    <row r="40" spans="1:40" s="465" customFormat="1" ht="28.5" customHeight="1" x14ac:dyDescent="0.3">
      <c r="A40" s="197"/>
      <c r="B40" s="287"/>
      <c r="C40" s="138"/>
      <c r="D40" s="143"/>
      <c r="E40" s="514"/>
      <c r="F40" s="459"/>
      <c r="G40" s="515"/>
      <c r="H40" s="514"/>
      <c r="I40" s="459"/>
      <c r="J40" s="515"/>
      <c r="K40" s="514"/>
      <c r="L40" s="459"/>
      <c r="M40" s="515"/>
      <c r="N40" s="514"/>
      <c r="O40" s="459"/>
      <c r="P40" s="515"/>
      <c r="Q40" s="514"/>
      <c r="R40" s="459"/>
      <c r="S40" s="515"/>
      <c r="T40" s="514"/>
      <c r="U40" s="459"/>
      <c r="V40" s="517"/>
      <c r="W40" s="514"/>
      <c r="X40" s="459"/>
      <c r="Y40" s="515"/>
      <c r="Z40" s="514"/>
      <c r="AA40" s="459"/>
      <c r="AB40" s="517"/>
      <c r="AC40" s="514"/>
      <c r="AD40" s="459"/>
      <c r="AE40" s="517"/>
      <c r="AF40" s="514"/>
      <c r="AG40" s="459"/>
      <c r="AH40" s="517"/>
      <c r="AI40" s="514"/>
      <c r="AJ40" s="459"/>
      <c r="AK40" s="517"/>
      <c r="AL40" s="514"/>
      <c r="AM40" s="459"/>
      <c r="AN40" s="517"/>
    </row>
    <row r="41" spans="1:40" s="465" customFormat="1" ht="13.2" x14ac:dyDescent="0.3">
      <c r="A41" s="197"/>
      <c r="B41" s="286"/>
      <c r="C41" s="138"/>
      <c r="D41" s="143"/>
      <c r="E41" s="514"/>
      <c r="F41" s="459"/>
      <c r="G41" s="517"/>
      <c r="H41" s="514"/>
      <c r="I41" s="459"/>
      <c r="J41" s="515"/>
      <c r="K41" s="514"/>
      <c r="L41" s="459"/>
      <c r="M41" s="515"/>
      <c r="N41" s="514"/>
      <c r="O41" s="459"/>
      <c r="P41" s="515"/>
      <c r="Q41" s="514"/>
      <c r="R41" s="459"/>
      <c r="S41" s="515"/>
      <c r="T41" s="514"/>
      <c r="U41" s="459"/>
      <c r="V41" s="517"/>
      <c r="W41" s="514"/>
      <c r="X41" s="459"/>
      <c r="Y41" s="515"/>
      <c r="Z41" s="514"/>
      <c r="AA41" s="459"/>
      <c r="AB41" s="517"/>
      <c r="AC41" s="514"/>
      <c r="AD41" s="459"/>
      <c r="AE41" s="517"/>
      <c r="AF41" s="514"/>
      <c r="AG41" s="459"/>
      <c r="AH41" s="517"/>
      <c r="AI41" s="514"/>
      <c r="AJ41" s="459"/>
      <c r="AK41" s="517"/>
      <c r="AL41" s="514"/>
      <c r="AM41" s="459"/>
      <c r="AN41" s="517"/>
    </row>
    <row r="42" spans="1:40" s="465" customFormat="1" ht="13.2" x14ac:dyDescent="0.3">
      <c r="A42" s="197"/>
      <c r="B42" s="287"/>
      <c r="C42" s="138"/>
      <c r="D42" s="143"/>
      <c r="E42" s="514"/>
      <c r="F42" s="459"/>
      <c r="G42" s="517"/>
      <c r="H42" s="514"/>
      <c r="I42" s="459"/>
      <c r="J42" s="515"/>
      <c r="K42" s="514"/>
      <c r="L42" s="459"/>
      <c r="M42" s="515"/>
      <c r="N42" s="514"/>
      <c r="O42" s="459"/>
      <c r="P42" s="515"/>
      <c r="Q42" s="514"/>
      <c r="R42" s="459"/>
      <c r="S42" s="515"/>
      <c r="T42" s="514"/>
      <c r="U42" s="459"/>
      <c r="V42" s="517"/>
      <c r="W42" s="514"/>
      <c r="X42" s="459"/>
      <c r="Y42" s="515"/>
      <c r="Z42" s="514"/>
      <c r="AA42" s="459"/>
      <c r="AB42" s="517"/>
      <c r="AC42" s="514"/>
      <c r="AD42" s="459"/>
      <c r="AE42" s="517"/>
      <c r="AF42" s="514"/>
      <c r="AG42" s="459"/>
      <c r="AH42" s="517"/>
      <c r="AI42" s="514"/>
      <c r="AJ42" s="459"/>
      <c r="AK42" s="517"/>
      <c r="AL42" s="514"/>
      <c r="AM42" s="459"/>
      <c r="AN42" s="517"/>
    </row>
    <row r="43" spans="1:40" s="465" customFormat="1" ht="13.2" x14ac:dyDescent="0.3">
      <c r="A43" s="197"/>
      <c r="B43" s="286"/>
      <c r="C43" s="138"/>
      <c r="D43" s="143"/>
      <c r="E43" s="514"/>
      <c r="F43" s="459"/>
      <c r="G43" s="517"/>
      <c r="H43" s="514"/>
      <c r="I43" s="459"/>
      <c r="J43" s="515"/>
      <c r="K43" s="514"/>
      <c r="L43" s="459"/>
      <c r="M43" s="515"/>
      <c r="N43" s="514"/>
      <c r="O43" s="459"/>
      <c r="P43" s="515"/>
      <c r="Q43" s="514"/>
      <c r="R43" s="459"/>
      <c r="S43" s="515"/>
      <c r="T43" s="514"/>
      <c r="U43" s="459"/>
      <c r="V43" s="517"/>
      <c r="W43" s="514"/>
      <c r="X43" s="459"/>
      <c r="Y43" s="515"/>
      <c r="Z43" s="514"/>
      <c r="AA43" s="459"/>
      <c r="AB43" s="517"/>
      <c r="AC43" s="514"/>
      <c r="AD43" s="459"/>
      <c r="AE43" s="517"/>
      <c r="AF43" s="514"/>
      <c r="AG43" s="459"/>
      <c r="AH43" s="517"/>
      <c r="AI43" s="514"/>
      <c r="AJ43" s="459"/>
      <c r="AK43" s="517"/>
      <c r="AL43" s="514"/>
      <c r="AM43" s="459"/>
      <c r="AN43" s="517"/>
    </row>
    <row r="44" spans="1:40" s="465" customFormat="1" ht="13.2" x14ac:dyDescent="0.3">
      <c r="A44" s="197"/>
      <c r="B44" s="287"/>
      <c r="C44" s="138"/>
      <c r="D44" s="143"/>
      <c r="E44" s="514"/>
      <c r="F44" s="459"/>
      <c r="G44" s="515"/>
      <c r="H44" s="514"/>
      <c r="I44" s="459"/>
      <c r="J44" s="515"/>
      <c r="K44" s="514"/>
      <c r="L44" s="459"/>
      <c r="M44" s="515"/>
      <c r="N44" s="514"/>
      <c r="O44" s="459"/>
      <c r="P44" s="515"/>
      <c r="Q44" s="514"/>
      <c r="R44" s="459"/>
      <c r="S44" s="515"/>
      <c r="T44" s="514"/>
      <c r="U44" s="459"/>
      <c r="V44" s="517"/>
      <c r="W44" s="514"/>
      <c r="X44" s="459"/>
      <c r="Y44" s="520"/>
      <c r="Z44" s="514"/>
      <c r="AA44" s="459"/>
      <c r="AB44" s="517"/>
      <c r="AC44" s="514"/>
      <c r="AD44" s="459"/>
      <c r="AE44" s="517"/>
      <c r="AF44" s="514"/>
      <c r="AG44" s="459"/>
      <c r="AH44" s="517"/>
      <c r="AI44" s="514"/>
      <c r="AJ44" s="459"/>
      <c r="AK44" s="517"/>
      <c r="AL44" s="514"/>
      <c r="AM44" s="459"/>
      <c r="AN44" s="517"/>
    </row>
    <row r="45" spans="1:40" s="465" customFormat="1" ht="13.2" x14ac:dyDescent="0.3">
      <c r="A45" s="197"/>
      <c r="B45" s="286"/>
      <c r="C45" s="138"/>
      <c r="D45" s="143"/>
      <c r="E45" s="514"/>
      <c r="F45" s="459"/>
      <c r="G45" s="517"/>
      <c r="H45" s="514"/>
      <c r="I45" s="459"/>
      <c r="J45" s="515"/>
      <c r="K45" s="514"/>
      <c r="L45" s="459"/>
      <c r="M45" s="515"/>
      <c r="N45" s="514"/>
      <c r="O45" s="459"/>
      <c r="P45" s="515"/>
      <c r="Q45" s="514"/>
      <c r="R45" s="459"/>
      <c r="S45" s="515"/>
      <c r="T45" s="514"/>
      <c r="U45" s="459"/>
      <c r="V45" s="517"/>
      <c r="W45" s="514"/>
      <c r="X45" s="459"/>
      <c r="Y45" s="515"/>
      <c r="Z45" s="514"/>
      <c r="AA45" s="459"/>
      <c r="AB45" s="517"/>
      <c r="AC45" s="514"/>
      <c r="AD45" s="459"/>
      <c r="AE45" s="517"/>
      <c r="AF45" s="514"/>
      <c r="AG45" s="459"/>
      <c r="AH45" s="517"/>
      <c r="AI45" s="514"/>
      <c r="AJ45" s="459"/>
      <c r="AK45" s="517"/>
      <c r="AL45" s="514"/>
      <c r="AM45" s="459"/>
      <c r="AN45" s="517"/>
    </row>
    <row r="46" spans="1:40" s="465" customFormat="1" ht="13.2" x14ac:dyDescent="0.3">
      <c r="A46" s="197"/>
      <c r="B46" s="287"/>
      <c r="C46" s="138"/>
      <c r="D46" s="143"/>
      <c r="E46" s="514"/>
      <c r="F46" s="459"/>
      <c r="G46" s="517"/>
      <c r="H46" s="514"/>
      <c r="I46" s="459"/>
      <c r="J46" s="517"/>
      <c r="K46" s="514"/>
      <c r="L46" s="459"/>
      <c r="M46" s="517"/>
      <c r="N46" s="514"/>
      <c r="O46" s="459"/>
      <c r="P46" s="517"/>
      <c r="Q46" s="514"/>
      <c r="R46" s="459"/>
      <c r="S46" s="517"/>
      <c r="T46" s="514"/>
      <c r="U46" s="459"/>
      <c r="V46" s="517"/>
      <c r="W46" s="514"/>
      <c r="X46" s="459"/>
      <c r="Y46" s="515"/>
      <c r="Z46" s="514"/>
      <c r="AA46" s="459"/>
      <c r="AB46" s="517"/>
      <c r="AC46" s="514"/>
      <c r="AD46" s="459"/>
      <c r="AE46" s="517"/>
      <c r="AF46" s="514"/>
      <c r="AG46" s="459"/>
      <c r="AH46" s="517"/>
      <c r="AI46" s="514"/>
      <c r="AJ46" s="459"/>
      <c r="AK46" s="517"/>
      <c r="AL46" s="514"/>
      <c r="AM46" s="459"/>
      <c r="AN46" s="517"/>
    </row>
    <row r="47" spans="1:40" s="465" customFormat="1" ht="13.2" x14ac:dyDescent="0.3">
      <c r="A47" s="197"/>
      <c r="B47" s="286"/>
      <c r="C47" s="138"/>
      <c r="D47" s="143"/>
      <c r="E47" s="514"/>
      <c r="F47" s="459"/>
      <c r="G47" s="517"/>
      <c r="H47" s="514"/>
      <c r="I47" s="459"/>
      <c r="J47" s="517"/>
      <c r="K47" s="514"/>
      <c r="L47" s="459"/>
      <c r="M47" s="515"/>
      <c r="N47" s="514"/>
      <c r="O47" s="459"/>
      <c r="P47" s="515"/>
      <c r="Q47" s="514"/>
      <c r="R47" s="459"/>
      <c r="S47" s="517"/>
      <c r="T47" s="514"/>
      <c r="U47" s="459"/>
      <c r="V47" s="517"/>
      <c r="W47" s="514"/>
      <c r="X47" s="459"/>
      <c r="Y47" s="515"/>
      <c r="Z47" s="514"/>
      <c r="AA47" s="459"/>
      <c r="AB47" s="517"/>
      <c r="AC47" s="514"/>
      <c r="AD47" s="459"/>
      <c r="AE47" s="517"/>
      <c r="AF47" s="514"/>
      <c r="AG47" s="459"/>
      <c r="AH47" s="517"/>
      <c r="AI47" s="514"/>
      <c r="AJ47" s="459"/>
      <c r="AK47" s="517"/>
      <c r="AL47" s="514"/>
      <c r="AM47" s="459"/>
      <c r="AN47" s="517"/>
    </row>
    <row r="48" spans="1:40" s="465" customFormat="1" ht="25.5" customHeight="1" thickBot="1" x14ac:dyDescent="0.35">
      <c r="A48" s="197"/>
      <c r="B48" s="289"/>
      <c r="C48" s="147"/>
      <c r="D48" s="148"/>
      <c r="E48" s="521"/>
      <c r="F48" s="490"/>
      <c r="G48" s="522"/>
      <c r="H48" s="521"/>
      <c r="I48" s="490"/>
      <c r="J48" s="523"/>
      <c r="K48" s="521"/>
      <c r="L48" s="490"/>
      <c r="M48" s="523"/>
      <c r="N48" s="521"/>
      <c r="O48" s="490"/>
      <c r="P48" s="523"/>
      <c r="Q48" s="521"/>
      <c r="R48" s="490"/>
      <c r="S48" s="522"/>
      <c r="T48" s="521"/>
      <c r="U48" s="490"/>
      <c r="V48" s="523"/>
      <c r="W48" s="521"/>
      <c r="X48" s="490"/>
      <c r="Y48" s="523"/>
      <c r="Z48" s="521"/>
      <c r="AA48" s="490"/>
      <c r="AB48" s="522"/>
      <c r="AC48" s="521"/>
      <c r="AD48" s="490"/>
      <c r="AE48" s="522"/>
      <c r="AF48" s="521"/>
      <c r="AG48" s="490"/>
      <c r="AH48" s="522"/>
      <c r="AI48" s="521"/>
      <c r="AJ48" s="490"/>
      <c r="AK48" s="522"/>
      <c r="AL48" s="521"/>
      <c r="AM48" s="490"/>
      <c r="AN48" s="522"/>
    </row>
    <row r="49" spans="8:8" x14ac:dyDescent="0.25">
      <c r="H49" s="439">
        <v>13640</v>
      </c>
    </row>
    <row r="50" spans="8:8" x14ac:dyDescent="0.25">
      <c r="H50" s="439">
        <v>13640</v>
      </c>
    </row>
  </sheetData>
  <mergeCells count="21">
    <mergeCell ref="F4:Q4"/>
    <mergeCell ref="S4:U4"/>
    <mergeCell ref="F1:Q1"/>
    <mergeCell ref="S1:U1"/>
    <mergeCell ref="F2:Q2"/>
    <mergeCell ref="S2:U2"/>
    <mergeCell ref="F3:Q3"/>
    <mergeCell ref="S3:U3"/>
    <mergeCell ref="AC30:AE30"/>
    <mergeCell ref="AF30:AH30"/>
    <mergeCell ref="AI30:AK30"/>
    <mergeCell ref="AL30:AN30"/>
    <mergeCell ref="B29:AN29"/>
    <mergeCell ref="E30:G30"/>
    <mergeCell ref="H30:J30"/>
    <mergeCell ref="K30:M30"/>
    <mergeCell ref="N30:P30"/>
    <mergeCell ref="Q30:S30"/>
    <mergeCell ref="T30:V30"/>
    <mergeCell ref="W30:Y30"/>
    <mergeCell ref="Z30:AB30"/>
  </mergeCells>
  <conditionalFormatting sqref="E32:AN48">
    <cfRule type="notContainsBlanks" dxfId="2" priority="1">
      <formula>LEN(TRIM(E32))&gt;0</formula>
    </cfRule>
  </conditionalFormatting>
  <conditionalFormatting sqref="F8:T24">
    <cfRule type="notContainsBlanks" dxfId="1" priority="2">
      <formula>LEN(TRIM(F8))&gt;0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Q13"/>
  <sheetViews>
    <sheetView workbookViewId="0">
      <selection activeCell="O4" sqref="O4"/>
    </sheetView>
  </sheetViews>
  <sheetFormatPr baseColWidth="10" defaultColWidth="11.44140625" defaultRowHeight="14.4" x14ac:dyDescent="0.3"/>
  <sheetData>
    <row r="1" spans="1:17" x14ac:dyDescent="0.3">
      <c r="A1">
        <f>+'[1]2ºK'!B4</f>
        <v>0</v>
      </c>
    </row>
    <row r="2" spans="1:17" ht="15" thickBot="1" x14ac:dyDescent="0.35"/>
    <row r="3" spans="1:17" ht="24" customHeight="1" x14ac:dyDescent="0.3">
      <c r="B3" s="1458" t="s">
        <v>40</v>
      </c>
      <c r="C3" s="1459"/>
      <c r="D3" s="1459"/>
      <c r="E3" s="1462" t="s">
        <v>41</v>
      </c>
      <c r="F3" s="1463"/>
      <c r="G3" s="1464"/>
      <c r="H3" s="1468" t="s">
        <v>42</v>
      </c>
      <c r="I3" s="1468"/>
      <c r="J3" s="1468"/>
      <c r="K3" s="1470" t="s">
        <v>43</v>
      </c>
      <c r="L3" s="1471"/>
      <c r="M3" s="1472"/>
    </row>
    <row r="4" spans="1:17" ht="24" customHeight="1" thickBot="1" x14ac:dyDescent="0.35">
      <c r="A4" s="224"/>
      <c r="B4" s="1460"/>
      <c r="C4" s="1461"/>
      <c r="D4" s="1461"/>
      <c r="E4" s="1465"/>
      <c r="F4" s="1466"/>
      <c r="G4" s="1467"/>
      <c r="H4" s="1469"/>
      <c r="I4" s="1469"/>
      <c r="J4" s="1469"/>
      <c r="K4" s="1473"/>
      <c r="L4" s="1474"/>
      <c r="M4" s="1475"/>
    </row>
    <row r="5" spans="1:17" ht="27" customHeight="1" thickTop="1" thickBot="1" x14ac:dyDescent="0.55000000000000004">
      <c r="A5" s="225" t="s">
        <v>44</v>
      </c>
      <c r="B5" s="1476">
        <f>COUNTIF('1°K'!D8:D14,"*")</f>
        <v>3</v>
      </c>
      <c r="C5" s="1477"/>
      <c r="D5" s="1478"/>
      <c r="E5" s="1434">
        <f>COUNTIF('1°P'!D8:D23,"*")</f>
        <v>15</v>
      </c>
      <c r="F5" s="1435"/>
      <c r="G5" s="1436"/>
      <c r="H5" s="1434">
        <f>COUNTIF('1°S'!D8:D29,"*")</f>
        <v>11</v>
      </c>
      <c r="I5" s="1435"/>
      <c r="J5" s="1436"/>
      <c r="K5" s="1434">
        <f>COUNTIF('1-2°B'!D8:D24,"*")</f>
        <v>0</v>
      </c>
      <c r="L5" s="1435"/>
      <c r="M5" s="1479"/>
    </row>
    <row r="6" spans="1:17" ht="30" thickTop="1" thickBot="1" x14ac:dyDescent="0.55000000000000004">
      <c r="A6" s="225" t="s">
        <v>45</v>
      </c>
      <c r="B6" s="1449">
        <f>COUNTIF('2°K'!D8:D14,"*")</f>
        <v>5</v>
      </c>
      <c r="C6" s="1435"/>
      <c r="D6" s="1436"/>
      <c r="E6" s="1434">
        <f>COUNTIF('2°P'!D8:D28,"*")</f>
        <v>20</v>
      </c>
      <c r="F6" s="1435"/>
      <c r="G6" s="1436"/>
      <c r="H6" s="1434">
        <f>COUNTIF('2°S'!D8:D34,"*")</f>
        <v>27</v>
      </c>
      <c r="I6" s="1435"/>
      <c r="J6" s="1436"/>
      <c r="K6" s="1450"/>
      <c r="L6" s="1451"/>
      <c r="M6" s="1452"/>
      <c r="O6" s="1453" t="s">
        <v>46</v>
      </c>
      <c r="P6" s="1453"/>
      <c r="Q6" s="1453"/>
    </row>
    <row r="7" spans="1:17" ht="30" thickTop="1" thickBot="1" x14ac:dyDescent="0.55000000000000004">
      <c r="A7" s="225" t="s">
        <v>47</v>
      </c>
      <c r="B7" s="1449">
        <f>COUNTIF('3°K'!D8:D14,"*")</f>
        <v>4</v>
      </c>
      <c r="C7" s="1435"/>
      <c r="D7" s="1436"/>
      <c r="E7" s="1434">
        <f>COUNTIF('3° P'!D8:D34,"*")</f>
        <v>24</v>
      </c>
      <c r="F7" s="1435"/>
      <c r="G7" s="1436"/>
      <c r="H7" s="1434">
        <f>COUNTIF('3°S'!D8:D24,"*")</f>
        <v>13</v>
      </c>
      <c r="I7" s="1435"/>
      <c r="J7" s="1436"/>
      <c r="K7" s="1450">
        <f>COUNTIF('3-4°B'!D8:D25,"*")</f>
        <v>0</v>
      </c>
      <c r="L7" s="1451"/>
      <c r="M7" s="1452"/>
      <c r="O7" s="1454">
        <f>SUM(B11:M11)</f>
        <v>170</v>
      </c>
      <c r="P7" s="1454"/>
      <c r="Q7" s="1454"/>
    </row>
    <row r="8" spans="1:17" ht="30" thickTop="1" thickBot="1" x14ac:dyDescent="0.55000000000000004">
      <c r="A8" s="225" t="s">
        <v>48</v>
      </c>
      <c r="B8" s="1455"/>
      <c r="C8" s="1456"/>
      <c r="D8" s="1457"/>
      <c r="E8" s="1434">
        <f>COUNTIF('4°P'!D8:D24,"*")</f>
        <v>8</v>
      </c>
      <c r="F8" s="1435"/>
      <c r="G8" s="1436"/>
      <c r="H8" s="1434"/>
      <c r="I8" s="1435"/>
      <c r="J8" s="1436"/>
      <c r="K8" s="1450"/>
      <c r="L8" s="1451"/>
      <c r="M8" s="1452"/>
      <c r="O8" s="1454"/>
      <c r="P8" s="1454"/>
      <c r="Q8" s="1454"/>
    </row>
    <row r="9" spans="1:17" ht="30" thickTop="1" thickBot="1" x14ac:dyDescent="0.55000000000000004">
      <c r="A9" s="225" t="s">
        <v>49</v>
      </c>
      <c r="B9" s="1455"/>
      <c r="C9" s="1456"/>
      <c r="D9" s="1457"/>
      <c r="E9" s="1434">
        <f>COUNTIF('5°P'!D8:D25,"*")</f>
        <v>16</v>
      </c>
      <c r="F9" s="1435"/>
      <c r="G9" s="1436"/>
      <c r="H9" s="1434"/>
      <c r="I9" s="1435"/>
      <c r="J9" s="1436"/>
      <c r="K9" s="1450">
        <v>4</v>
      </c>
      <c r="L9" s="1451"/>
      <c r="M9" s="1452"/>
      <c r="O9" s="1454"/>
      <c r="P9" s="1454"/>
      <c r="Q9" s="1454"/>
    </row>
    <row r="10" spans="1:17" ht="30" thickTop="1" thickBot="1" x14ac:dyDescent="0.55000000000000004">
      <c r="A10" s="225" t="s">
        <v>50</v>
      </c>
      <c r="B10" s="1431"/>
      <c r="C10" s="1432"/>
      <c r="D10" s="1433"/>
      <c r="E10" s="1434">
        <f>COUNTIF('6°P'!D8:D31,"*")</f>
        <v>20</v>
      </c>
      <c r="F10" s="1435"/>
      <c r="G10" s="1436"/>
      <c r="H10" s="1434"/>
      <c r="I10" s="1435"/>
      <c r="J10" s="1436"/>
      <c r="K10" s="1437"/>
      <c r="L10" s="1438"/>
      <c r="M10" s="1439"/>
    </row>
    <row r="11" spans="1:17" ht="27" thickTop="1" thickBot="1" x14ac:dyDescent="0.55000000000000004">
      <c r="A11" s="226" t="s">
        <v>38</v>
      </c>
      <c r="B11" s="1440">
        <f>B5+B6+B7</f>
        <v>12</v>
      </c>
      <c r="C11" s="1441"/>
      <c r="D11" s="1441"/>
      <c r="E11" s="1442">
        <f>SUM(E5:G10)</f>
        <v>103</v>
      </c>
      <c r="F11" s="1443"/>
      <c r="G11" s="1444"/>
      <c r="H11" s="1445">
        <f>SUM(H5:J7)</f>
        <v>51</v>
      </c>
      <c r="I11" s="1445"/>
      <c r="J11" s="1445"/>
      <c r="K11" s="1446">
        <f>SUM(K5:M10)</f>
        <v>4</v>
      </c>
      <c r="L11" s="1447"/>
      <c r="M11" s="1448"/>
    </row>
    <row r="12" spans="1:17" ht="15" thickTop="1" x14ac:dyDescent="0.3"/>
    <row r="13" spans="1:17" x14ac:dyDescent="0.3">
      <c r="G13" s="227"/>
    </row>
  </sheetData>
  <mergeCells count="34">
    <mergeCell ref="B3:D4"/>
    <mergeCell ref="E3:G4"/>
    <mergeCell ref="H3:J4"/>
    <mergeCell ref="K3:M4"/>
    <mergeCell ref="B5:D5"/>
    <mergeCell ref="E5:G5"/>
    <mergeCell ref="H5:J5"/>
    <mergeCell ref="K5:M5"/>
    <mergeCell ref="B7:D7"/>
    <mergeCell ref="E7:G7"/>
    <mergeCell ref="H7:J7"/>
    <mergeCell ref="K7:M7"/>
    <mergeCell ref="O7:Q9"/>
    <mergeCell ref="B8:D8"/>
    <mergeCell ref="E8:G8"/>
    <mergeCell ref="H8:J8"/>
    <mergeCell ref="K8:M8"/>
    <mergeCell ref="B9:D9"/>
    <mergeCell ref="E9:G9"/>
    <mergeCell ref="H9:J9"/>
    <mergeCell ref="K9:M9"/>
    <mergeCell ref="B6:D6"/>
    <mergeCell ref="E6:G6"/>
    <mergeCell ref="H6:J6"/>
    <mergeCell ref="K6:M6"/>
    <mergeCell ref="O6:Q6"/>
    <mergeCell ref="B10:D10"/>
    <mergeCell ref="E10:G10"/>
    <mergeCell ref="H10:J10"/>
    <mergeCell ref="K10:M10"/>
    <mergeCell ref="B11:D11"/>
    <mergeCell ref="E11:G11"/>
    <mergeCell ref="H11:J11"/>
    <mergeCell ref="K11:M11"/>
  </mergeCells>
  <pageMargins left="0.7" right="0.7" top="0.75" bottom="0.75" header="0.3" footer="0.3"/>
  <pageSetup scale="6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E4B0-410B-4611-8C5C-C19B2FA9CDBA}">
  <dimension ref="A2:S178"/>
  <sheetViews>
    <sheetView zoomScale="120" zoomScaleNormal="120" workbookViewId="0">
      <pane xSplit="2" ySplit="3" topLeftCell="M28" activePane="bottomRight" state="frozen"/>
      <selection pane="topRight" activeCell="C1" sqref="C1"/>
      <selection pane="bottomLeft" activeCell="A4" sqref="A4"/>
      <selection pane="bottomRight" activeCell="Q40" sqref="Q40"/>
    </sheetView>
  </sheetViews>
  <sheetFormatPr baseColWidth="10" defaultRowHeight="12" x14ac:dyDescent="0.25"/>
  <cols>
    <col min="1" max="1" width="8.21875" style="979" customWidth="1"/>
    <col min="2" max="2" width="37.21875" style="439" bestFit="1" customWidth="1"/>
    <col min="3" max="3" width="19.44140625" style="439" bestFit="1" customWidth="1"/>
    <col min="4" max="4" width="11.5546875" style="990" customWidth="1"/>
    <col min="5" max="11" width="11.5546875" style="439" customWidth="1"/>
    <col min="12" max="12" width="7.5546875" style="439" customWidth="1"/>
    <col min="13" max="13" width="11.5546875" style="979"/>
    <col min="14" max="14" width="9.5546875" style="979" customWidth="1"/>
    <col min="15" max="15" width="8.44140625" style="979" customWidth="1"/>
    <col min="16" max="16" width="9" style="979" customWidth="1"/>
    <col min="17" max="17" width="15.21875" style="439" customWidth="1"/>
    <col min="18" max="18" width="9.6640625" style="439" customWidth="1"/>
    <col min="19" max="19" width="157.6640625" style="439" customWidth="1"/>
    <col min="20" max="16384" width="11.5546875" style="439"/>
  </cols>
  <sheetData>
    <row r="2" spans="1:19" x14ac:dyDescent="0.25">
      <c r="A2" s="961" t="s">
        <v>529</v>
      </c>
      <c r="B2" s="961"/>
      <c r="C2" s="961"/>
      <c r="D2" s="961"/>
      <c r="E2" s="961"/>
      <c r="F2" s="961"/>
      <c r="G2" s="961"/>
      <c r="H2" s="961"/>
      <c r="I2" s="961"/>
      <c r="J2" s="961"/>
      <c r="K2" s="961"/>
      <c r="L2" s="961"/>
      <c r="M2" s="961"/>
      <c r="N2" s="961"/>
      <c r="O2" s="962"/>
      <c r="P2" s="962"/>
      <c r="Q2" s="963"/>
      <c r="R2" s="964"/>
    </row>
    <row r="3" spans="1:19" x14ac:dyDescent="0.25">
      <c r="A3" s="965" t="s">
        <v>530</v>
      </c>
      <c r="B3" s="966" t="s">
        <v>11</v>
      </c>
      <c r="C3" s="967" t="s">
        <v>531</v>
      </c>
      <c r="D3" s="968" t="s">
        <v>37</v>
      </c>
      <c r="E3" s="966" t="s">
        <v>532</v>
      </c>
      <c r="F3" s="966" t="s">
        <v>533</v>
      </c>
      <c r="G3" s="966" t="s">
        <v>534</v>
      </c>
      <c r="H3" s="966" t="s">
        <v>535</v>
      </c>
      <c r="I3" s="966" t="s">
        <v>536</v>
      </c>
      <c r="J3" s="966" t="s">
        <v>537</v>
      </c>
      <c r="K3" s="966" t="s">
        <v>538</v>
      </c>
      <c r="L3" s="966" t="s">
        <v>539</v>
      </c>
      <c r="M3" s="965" t="s">
        <v>540</v>
      </c>
      <c r="N3" s="965" t="s">
        <v>541</v>
      </c>
      <c r="O3" s="965" t="s">
        <v>542</v>
      </c>
      <c r="P3" s="965" t="s">
        <v>543</v>
      </c>
      <c r="Q3" s="969" t="s">
        <v>582</v>
      </c>
      <c r="R3" s="969"/>
      <c r="S3" s="970" t="s">
        <v>584</v>
      </c>
    </row>
    <row r="4" spans="1:19" x14ac:dyDescent="0.25">
      <c r="A4" s="965"/>
      <c r="B4" s="966"/>
      <c r="C4" s="971"/>
      <c r="D4" s="968"/>
      <c r="E4" s="966"/>
      <c r="F4" s="966"/>
      <c r="G4" s="966"/>
      <c r="H4" s="966"/>
      <c r="I4" s="966"/>
      <c r="J4" s="966"/>
      <c r="K4" s="966"/>
      <c r="L4" s="966"/>
      <c r="M4" s="965"/>
      <c r="N4" s="965"/>
      <c r="O4" s="965"/>
      <c r="P4" s="965"/>
      <c r="Q4" s="972"/>
      <c r="R4" s="972"/>
      <c r="S4" s="973"/>
    </row>
    <row r="5" spans="1:19" x14ac:dyDescent="0.25">
      <c r="A5" s="974" t="s">
        <v>544</v>
      </c>
      <c r="B5" s="974"/>
      <c r="C5" s="974"/>
      <c r="D5" s="974"/>
      <c r="E5" s="974"/>
      <c r="F5" s="974"/>
      <c r="G5" s="974"/>
      <c r="H5" s="974"/>
      <c r="I5" s="974"/>
      <c r="J5" s="974"/>
      <c r="K5" s="974"/>
      <c r="L5" s="974"/>
      <c r="M5" s="974"/>
      <c r="N5" s="974"/>
      <c r="O5" s="975"/>
      <c r="P5" s="975"/>
    </row>
    <row r="6" spans="1:19" x14ac:dyDescent="0.25">
      <c r="A6" s="976" t="s">
        <v>603</v>
      </c>
      <c r="B6" s="977" t="s">
        <v>126</v>
      </c>
      <c r="C6" s="967" t="s">
        <v>77</v>
      </c>
      <c r="D6" s="978">
        <v>2394</v>
      </c>
      <c r="E6" s="846"/>
      <c r="F6" s="846">
        <v>3727</v>
      </c>
      <c r="G6" s="846">
        <v>3782</v>
      </c>
      <c r="H6" s="846">
        <v>3855</v>
      </c>
      <c r="I6" s="846">
        <v>3876</v>
      </c>
      <c r="J6" s="846">
        <v>4024</v>
      </c>
      <c r="K6" s="846">
        <v>4056</v>
      </c>
      <c r="L6" s="846">
        <v>4106</v>
      </c>
      <c r="M6" s="976">
        <v>4228</v>
      </c>
      <c r="N6" s="976">
        <v>4353</v>
      </c>
      <c r="O6" s="976">
        <v>4399</v>
      </c>
      <c r="P6" s="976"/>
      <c r="Q6" s="439" t="s">
        <v>586</v>
      </c>
      <c r="R6" s="439" t="s">
        <v>585</v>
      </c>
      <c r="S6" s="439" t="s">
        <v>587</v>
      </c>
    </row>
    <row r="7" spans="1:19" x14ac:dyDescent="0.25">
      <c r="A7" s="976" t="s">
        <v>603</v>
      </c>
      <c r="B7" s="977" t="s">
        <v>198</v>
      </c>
      <c r="C7" s="967" t="s">
        <v>77</v>
      </c>
      <c r="D7" s="978">
        <v>2394</v>
      </c>
      <c r="E7" s="846"/>
      <c r="F7" s="846">
        <v>3715</v>
      </c>
      <c r="G7" s="846">
        <v>3845</v>
      </c>
      <c r="H7" s="846">
        <v>3846</v>
      </c>
      <c r="I7" s="846">
        <v>3877</v>
      </c>
      <c r="J7" s="846">
        <v>4025</v>
      </c>
      <c r="K7" s="846">
        <v>4057</v>
      </c>
      <c r="L7" s="846">
        <v>4107</v>
      </c>
      <c r="M7" s="976">
        <v>4229</v>
      </c>
      <c r="N7" s="979">
        <v>4229</v>
      </c>
      <c r="O7" s="976">
        <v>4406</v>
      </c>
      <c r="P7" s="976"/>
      <c r="Q7" s="439" t="s">
        <v>581</v>
      </c>
      <c r="R7" s="439" t="s">
        <v>585</v>
      </c>
      <c r="S7" s="439" t="s">
        <v>583</v>
      </c>
    </row>
    <row r="8" spans="1:19" x14ac:dyDescent="0.25">
      <c r="A8" s="976" t="s">
        <v>603</v>
      </c>
      <c r="B8" s="846" t="s">
        <v>391</v>
      </c>
      <c r="C8" s="967" t="s">
        <v>77</v>
      </c>
      <c r="D8" s="978">
        <v>1852</v>
      </c>
      <c r="E8" s="846"/>
      <c r="F8" s="846">
        <v>3783</v>
      </c>
      <c r="G8" s="846">
        <v>3784</v>
      </c>
      <c r="H8" s="846">
        <v>3857</v>
      </c>
      <c r="I8" s="846">
        <v>3878</v>
      </c>
      <c r="J8" s="846">
        <v>4026</v>
      </c>
      <c r="K8" s="846">
        <v>4072</v>
      </c>
      <c r="L8" s="846">
        <v>4073</v>
      </c>
      <c r="M8" s="976">
        <v>4230</v>
      </c>
      <c r="N8" s="976">
        <v>4355</v>
      </c>
      <c r="O8" s="976">
        <v>4424</v>
      </c>
      <c r="P8" s="976"/>
      <c r="Q8" s="439" t="s">
        <v>588</v>
      </c>
      <c r="R8" s="439" t="s">
        <v>585</v>
      </c>
      <c r="S8" s="439" t="s">
        <v>589</v>
      </c>
    </row>
    <row r="9" spans="1:19" x14ac:dyDescent="0.25">
      <c r="A9" s="976"/>
      <c r="B9" s="846"/>
      <c r="C9" s="967"/>
      <c r="D9" s="978"/>
      <c r="E9" s="846"/>
      <c r="F9" s="846"/>
      <c r="G9" s="846"/>
      <c r="H9" s="846"/>
      <c r="I9" s="846"/>
      <c r="J9" s="846"/>
      <c r="K9" s="846"/>
      <c r="L9" s="846"/>
      <c r="M9" s="976"/>
      <c r="N9" s="976"/>
      <c r="O9" s="976"/>
      <c r="P9" s="976"/>
    </row>
    <row r="10" spans="1:19" x14ac:dyDescent="0.25">
      <c r="A10" s="974" t="s">
        <v>545</v>
      </c>
      <c r="B10" s="974"/>
      <c r="C10" s="974"/>
      <c r="D10" s="974"/>
      <c r="E10" s="974"/>
      <c r="F10" s="974"/>
      <c r="G10" s="974"/>
      <c r="H10" s="974"/>
      <c r="I10" s="974"/>
      <c r="J10" s="974"/>
      <c r="K10" s="974"/>
      <c r="L10" s="974"/>
      <c r="M10" s="974"/>
      <c r="N10" s="974"/>
      <c r="O10" s="975"/>
      <c r="P10" s="975"/>
    </row>
    <row r="11" spans="1:19" x14ac:dyDescent="0.25">
      <c r="A11" s="976" t="s">
        <v>603</v>
      </c>
      <c r="B11" s="977" t="s">
        <v>67</v>
      </c>
      <c r="C11" s="967" t="s">
        <v>77</v>
      </c>
      <c r="D11" s="978">
        <v>1995</v>
      </c>
      <c r="E11" s="846"/>
      <c r="F11" s="846">
        <v>3792</v>
      </c>
      <c r="G11" s="846">
        <v>3793</v>
      </c>
      <c r="H11" s="846">
        <v>3829</v>
      </c>
      <c r="I11" s="846">
        <v>3880</v>
      </c>
      <c r="J11" s="846">
        <v>4027</v>
      </c>
      <c r="K11" s="846">
        <v>4058</v>
      </c>
      <c r="L11" s="846">
        <v>4082</v>
      </c>
      <c r="M11" s="976">
        <v>4231</v>
      </c>
      <c r="N11" s="979">
        <v>4303</v>
      </c>
      <c r="O11" s="976">
        <v>4400</v>
      </c>
      <c r="P11" s="976">
        <v>3881</v>
      </c>
      <c r="Q11" s="439" t="s">
        <v>590</v>
      </c>
      <c r="R11" s="439" t="s">
        <v>585</v>
      </c>
      <c r="S11" s="439" t="s">
        <v>591</v>
      </c>
    </row>
    <row r="12" spans="1:19" x14ac:dyDescent="0.25">
      <c r="A12" s="976"/>
      <c r="B12" s="846" t="s">
        <v>228</v>
      </c>
      <c r="C12" s="967" t="s">
        <v>77</v>
      </c>
      <c r="D12" s="978">
        <v>2223</v>
      </c>
      <c r="E12" s="846"/>
      <c r="F12" s="846">
        <v>3743</v>
      </c>
      <c r="G12" s="846">
        <v>3780</v>
      </c>
      <c r="H12" s="846">
        <v>3859</v>
      </c>
      <c r="I12" s="846">
        <v>3879</v>
      </c>
      <c r="J12" s="980"/>
      <c r="K12" s="980"/>
      <c r="L12" s="980"/>
      <c r="M12" s="981"/>
      <c r="N12" s="981"/>
      <c r="O12" s="981"/>
      <c r="P12" s="981"/>
    </row>
    <row r="13" spans="1:19" x14ac:dyDescent="0.25">
      <c r="A13" s="976" t="s">
        <v>606</v>
      </c>
      <c r="B13" s="977" t="str">
        <f>'2°K'!D23</f>
        <v>SARA ANALI CRUZ PORTILLA</v>
      </c>
      <c r="C13" s="967"/>
      <c r="D13" s="978"/>
      <c r="E13" s="846"/>
      <c r="F13" s="846"/>
      <c r="G13" s="846"/>
      <c r="H13" s="846"/>
      <c r="I13" s="846"/>
      <c r="J13" s="846"/>
      <c r="K13" s="846"/>
      <c r="L13" s="846"/>
      <c r="M13" s="976"/>
      <c r="N13" s="976"/>
      <c r="O13" s="976">
        <v>4426</v>
      </c>
      <c r="P13" s="976"/>
      <c r="Q13" s="439" t="s">
        <v>799</v>
      </c>
      <c r="R13" s="439" t="s">
        <v>585</v>
      </c>
      <c r="S13" s="439" t="s">
        <v>817</v>
      </c>
    </row>
    <row r="14" spans="1:19" x14ac:dyDescent="0.25">
      <c r="A14" s="976"/>
      <c r="B14" s="846" t="str">
        <f>'2°K'!D25</f>
        <v>AITANA REBECA FERNÁNDEZ CRUZ</v>
      </c>
      <c r="C14" s="967"/>
      <c r="D14" s="978"/>
      <c r="E14" s="846"/>
      <c r="F14" s="846"/>
      <c r="G14" s="846"/>
      <c r="H14" s="846"/>
      <c r="I14" s="846"/>
      <c r="J14" s="846"/>
      <c r="K14" s="846"/>
      <c r="L14" s="846"/>
      <c r="M14" s="976"/>
      <c r="N14" s="976"/>
      <c r="O14" s="976"/>
      <c r="P14" s="976"/>
    </row>
    <row r="15" spans="1:19" x14ac:dyDescent="0.25">
      <c r="A15" s="976"/>
      <c r="B15" s="846"/>
      <c r="C15" s="967"/>
      <c r="D15" s="978"/>
      <c r="E15" s="846"/>
      <c r="F15" s="846"/>
      <c r="G15" s="846"/>
      <c r="H15" s="846"/>
      <c r="I15" s="846"/>
      <c r="J15" s="846"/>
      <c r="K15" s="846"/>
      <c r="L15" s="846"/>
      <c r="M15" s="976"/>
      <c r="N15" s="976"/>
      <c r="O15" s="976"/>
      <c r="P15" s="976"/>
    </row>
    <row r="16" spans="1:19" x14ac:dyDescent="0.25">
      <c r="A16" s="974" t="s">
        <v>546</v>
      </c>
      <c r="B16" s="974"/>
      <c r="C16" s="974"/>
      <c r="D16" s="974"/>
      <c r="E16" s="974"/>
      <c r="F16" s="974"/>
      <c r="G16" s="974"/>
      <c r="H16" s="974"/>
      <c r="I16" s="974"/>
      <c r="J16" s="974"/>
      <c r="K16" s="974"/>
      <c r="L16" s="974"/>
      <c r="M16" s="974"/>
      <c r="N16" s="974"/>
      <c r="O16" s="975"/>
      <c r="P16" s="975"/>
    </row>
    <row r="17" spans="1:19" x14ac:dyDescent="0.25">
      <c r="A17" s="976"/>
      <c r="B17" s="846" t="s">
        <v>82</v>
      </c>
      <c r="C17" s="967">
        <v>3447</v>
      </c>
      <c r="D17" s="978"/>
      <c r="E17" s="846"/>
      <c r="F17" s="846"/>
      <c r="G17" s="846"/>
      <c r="H17" s="846"/>
      <c r="I17" s="846"/>
      <c r="J17" s="846"/>
      <c r="K17" s="846"/>
      <c r="L17" s="846"/>
      <c r="M17" s="976"/>
      <c r="N17" s="976"/>
      <c r="O17" s="976"/>
      <c r="P17" s="976"/>
    </row>
    <row r="18" spans="1:19" x14ac:dyDescent="0.25">
      <c r="A18" s="976" t="s">
        <v>603</v>
      </c>
      <c r="B18" s="977" t="s">
        <v>94</v>
      </c>
      <c r="C18" s="967" t="s">
        <v>77</v>
      </c>
      <c r="D18" s="978">
        <v>2394</v>
      </c>
      <c r="E18" s="846"/>
      <c r="F18" s="846">
        <v>3730</v>
      </c>
      <c r="G18" s="846">
        <v>3773</v>
      </c>
      <c r="H18" s="846">
        <v>3826</v>
      </c>
      <c r="I18" s="846">
        <v>3889</v>
      </c>
      <c r="J18" s="846">
        <v>4035</v>
      </c>
      <c r="K18" s="846">
        <v>4059</v>
      </c>
      <c r="L18" s="846">
        <v>4083</v>
      </c>
      <c r="M18" s="976">
        <v>4236</v>
      </c>
      <c r="N18" s="976">
        <v>4304</v>
      </c>
      <c r="O18" s="976">
        <v>4428</v>
      </c>
      <c r="P18" s="976">
        <v>3890</v>
      </c>
      <c r="Q18" s="439" t="s">
        <v>592</v>
      </c>
      <c r="R18" s="439" t="s">
        <v>585</v>
      </c>
      <c r="S18" s="439" t="s">
        <v>593</v>
      </c>
    </row>
    <row r="19" spans="1:19" x14ac:dyDescent="0.25">
      <c r="A19" s="976" t="s">
        <v>603</v>
      </c>
      <c r="B19" s="977" t="s">
        <v>124</v>
      </c>
      <c r="C19" s="967">
        <v>3427</v>
      </c>
      <c r="D19" s="978">
        <v>2565</v>
      </c>
      <c r="E19" s="846"/>
      <c r="F19" s="846">
        <v>3896</v>
      </c>
      <c r="G19" s="846">
        <v>3897</v>
      </c>
      <c r="H19" s="846">
        <v>3898</v>
      </c>
      <c r="I19" s="846">
        <v>3899</v>
      </c>
      <c r="J19" s="846">
        <v>4028</v>
      </c>
      <c r="K19" s="846">
        <v>4060</v>
      </c>
      <c r="L19" s="846">
        <v>4108</v>
      </c>
      <c r="M19" s="976">
        <v>4237</v>
      </c>
      <c r="N19" s="976">
        <v>4305</v>
      </c>
      <c r="O19" s="976">
        <v>4429</v>
      </c>
      <c r="P19" s="976"/>
      <c r="Q19" s="439" t="s">
        <v>594</v>
      </c>
      <c r="R19" s="439" t="s">
        <v>585</v>
      </c>
      <c r="S19" s="439" t="s">
        <v>605</v>
      </c>
    </row>
    <row r="20" spans="1:19" x14ac:dyDescent="0.25">
      <c r="A20" s="976"/>
      <c r="B20" s="846" t="s">
        <v>332</v>
      </c>
      <c r="C20" s="967">
        <v>3603</v>
      </c>
      <c r="D20" s="978">
        <v>2794</v>
      </c>
      <c r="E20" s="846"/>
      <c r="F20" s="846"/>
      <c r="G20" s="846"/>
      <c r="H20" s="846"/>
      <c r="I20" s="846"/>
      <c r="J20" s="846"/>
      <c r="K20" s="846"/>
      <c r="L20" s="846"/>
      <c r="M20" s="976"/>
      <c r="N20" s="976"/>
      <c r="O20" s="976"/>
      <c r="P20" s="976"/>
    </row>
    <row r="21" spans="1:19" x14ac:dyDescent="0.25">
      <c r="A21" s="976"/>
      <c r="B21" s="846"/>
      <c r="C21" s="967"/>
      <c r="D21" s="978"/>
      <c r="E21" s="846"/>
      <c r="F21" s="846"/>
      <c r="G21" s="846"/>
      <c r="H21" s="846"/>
      <c r="I21" s="846"/>
      <c r="J21" s="846"/>
      <c r="K21" s="846"/>
      <c r="L21" s="846"/>
      <c r="M21" s="976"/>
      <c r="N21" s="976"/>
      <c r="O21" s="976"/>
      <c r="P21" s="976"/>
    </row>
    <row r="22" spans="1:19" x14ac:dyDescent="0.25">
      <c r="A22" s="974" t="s">
        <v>547</v>
      </c>
      <c r="B22" s="974"/>
      <c r="C22" s="974"/>
      <c r="D22" s="974"/>
      <c r="E22" s="974"/>
      <c r="F22" s="974"/>
      <c r="G22" s="974"/>
      <c r="H22" s="974"/>
      <c r="I22" s="974"/>
      <c r="J22" s="974"/>
      <c r="K22" s="974"/>
      <c r="L22" s="974"/>
      <c r="M22" s="974"/>
      <c r="N22" s="974"/>
      <c r="O22" s="975"/>
      <c r="P22" s="975"/>
    </row>
    <row r="23" spans="1:19" x14ac:dyDescent="0.25">
      <c r="A23" s="976" t="s">
        <v>604</v>
      </c>
      <c r="B23" s="977" t="s">
        <v>65</v>
      </c>
      <c r="C23" s="967">
        <v>3270</v>
      </c>
      <c r="D23" s="978">
        <v>2623</v>
      </c>
      <c r="E23" s="846">
        <v>3759</v>
      </c>
      <c r="F23" s="846">
        <v>3760</v>
      </c>
      <c r="G23" s="846" t="s">
        <v>548</v>
      </c>
      <c r="H23" s="846">
        <v>3822</v>
      </c>
      <c r="I23" s="846">
        <v>3882</v>
      </c>
      <c r="J23" s="846">
        <v>4029</v>
      </c>
      <c r="K23" s="846">
        <v>4061</v>
      </c>
      <c r="L23" s="846">
        <v>4109</v>
      </c>
      <c r="M23" s="846">
        <v>4238</v>
      </c>
      <c r="N23" s="976">
        <v>4306</v>
      </c>
      <c r="O23" s="976">
        <v>4388</v>
      </c>
      <c r="P23" s="976">
        <v>3883</v>
      </c>
      <c r="Q23" s="439" t="s">
        <v>595</v>
      </c>
      <c r="R23" s="439" t="s">
        <v>585</v>
      </c>
      <c r="S23" s="439" t="s">
        <v>596</v>
      </c>
    </row>
    <row r="24" spans="1:19" x14ac:dyDescent="0.25">
      <c r="A24" s="976" t="s">
        <v>603</v>
      </c>
      <c r="B24" s="977" t="s">
        <v>76</v>
      </c>
      <c r="C24" s="967" t="s">
        <v>114</v>
      </c>
      <c r="D24" s="978">
        <v>2879</v>
      </c>
      <c r="E24" s="846"/>
      <c r="F24" s="846">
        <v>3884</v>
      </c>
      <c r="G24" s="846">
        <v>3885</v>
      </c>
      <c r="H24" s="846">
        <v>3886</v>
      </c>
      <c r="I24" s="846">
        <v>3887</v>
      </c>
      <c r="J24" s="846">
        <v>4036</v>
      </c>
      <c r="K24" s="846">
        <v>4062</v>
      </c>
      <c r="L24" s="846">
        <v>4110</v>
      </c>
      <c r="M24" s="846">
        <v>4239</v>
      </c>
      <c r="N24" s="976">
        <v>4307</v>
      </c>
      <c r="O24" s="976">
        <v>4389</v>
      </c>
      <c r="P24" s="976"/>
      <c r="Q24" s="439" t="s">
        <v>597</v>
      </c>
      <c r="R24" s="439" t="s">
        <v>585</v>
      </c>
      <c r="S24" s="439" t="s">
        <v>607</v>
      </c>
    </row>
    <row r="25" spans="1:19" x14ac:dyDescent="0.25">
      <c r="A25" s="976"/>
      <c r="B25" s="977" t="s">
        <v>80</v>
      </c>
      <c r="C25" s="967" t="s">
        <v>114</v>
      </c>
      <c r="D25" s="978"/>
      <c r="E25" s="846"/>
      <c r="F25" s="846"/>
      <c r="G25" s="846"/>
      <c r="H25" s="846"/>
      <c r="I25" s="846"/>
      <c r="J25" s="846"/>
      <c r="K25" s="846"/>
      <c r="L25" s="846"/>
      <c r="M25" s="846"/>
      <c r="N25" s="976"/>
      <c r="O25" s="976"/>
      <c r="P25" s="976"/>
    </row>
    <row r="26" spans="1:19" x14ac:dyDescent="0.25">
      <c r="A26" s="976"/>
      <c r="B26" s="846" t="s">
        <v>121</v>
      </c>
      <c r="C26" s="967" t="s">
        <v>114</v>
      </c>
      <c r="D26" s="978"/>
      <c r="E26" s="846"/>
      <c r="F26" s="846"/>
      <c r="G26" s="846"/>
      <c r="H26" s="846"/>
      <c r="I26" s="846"/>
      <c r="J26" s="846"/>
      <c r="K26" s="846"/>
      <c r="L26" s="846"/>
      <c r="M26" s="846"/>
      <c r="N26" s="976"/>
      <c r="O26" s="976"/>
      <c r="P26" s="976"/>
    </row>
    <row r="27" spans="1:19" x14ac:dyDescent="0.25">
      <c r="A27" s="976"/>
      <c r="B27" s="846" t="s">
        <v>549</v>
      </c>
      <c r="C27" s="967" t="s">
        <v>114</v>
      </c>
      <c r="D27" s="978"/>
      <c r="E27" s="846"/>
      <c r="F27" s="846"/>
      <c r="G27" s="846"/>
      <c r="H27" s="846"/>
      <c r="I27" s="846"/>
      <c r="J27" s="846"/>
      <c r="K27" s="846"/>
      <c r="L27" s="846"/>
      <c r="M27" s="846"/>
      <c r="N27" s="976"/>
      <c r="O27" s="976"/>
      <c r="P27" s="976"/>
    </row>
    <row r="28" spans="1:19" x14ac:dyDescent="0.25">
      <c r="A28" s="976"/>
      <c r="B28" s="846" t="s">
        <v>200</v>
      </c>
      <c r="C28" s="967" t="s">
        <v>114</v>
      </c>
      <c r="D28" s="978"/>
      <c r="E28" s="846"/>
      <c r="F28" s="846"/>
      <c r="G28" s="846"/>
      <c r="H28" s="846"/>
      <c r="I28" s="846"/>
      <c r="J28" s="846"/>
      <c r="K28" s="846"/>
      <c r="L28" s="846"/>
      <c r="M28" s="846"/>
      <c r="N28" s="976"/>
      <c r="O28" s="976"/>
      <c r="P28" s="976"/>
    </row>
    <row r="29" spans="1:19" x14ac:dyDescent="0.25">
      <c r="A29" s="976" t="s">
        <v>550</v>
      </c>
      <c r="B29" s="846" t="s">
        <v>254</v>
      </c>
      <c r="C29" s="967" t="s">
        <v>114</v>
      </c>
      <c r="D29" s="978">
        <v>2623</v>
      </c>
      <c r="E29" s="846">
        <v>3704</v>
      </c>
      <c r="F29" s="846">
        <v>3719</v>
      </c>
      <c r="G29" s="846">
        <v>3767</v>
      </c>
      <c r="H29" s="846">
        <v>3860</v>
      </c>
      <c r="I29" s="846">
        <v>3900</v>
      </c>
      <c r="J29" s="846">
        <v>4037</v>
      </c>
      <c r="K29" s="846">
        <v>4111</v>
      </c>
      <c r="L29" s="846">
        <v>4240</v>
      </c>
      <c r="M29" s="846">
        <v>4241</v>
      </c>
      <c r="N29" s="976">
        <v>4357</v>
      </c>
      <c r="O29" s="976">
        <v>4377</v>
      </c>
      <c r="P29" s="976">
        <v>3900</v>
      </c>
      <c r="Q29" s="439" t="s">
        <v>598</v>
      </c>
      <c r="R29" s="439" t="s">
        <v>585</v>
      </c>
      <c r="S29" s="439" t="s">
        <v>608</v>
      </c>
    </row>
    <row r="30" spans="1:19" x14ac:dyDescent="0.25">
      <c r="A30" s="976" t="s">
        <v>550</v>
      </c>
      <c r="B30" s="982" t="s">
        <v>222</v>
      </c>
      <c r="C30" s="967" t="s">
        <v>114</v>
      </c>
      <c r="D30" s="978">
        <v>1500</v>
      </c>
      <c r="E30" s="846"/>
      <c r="F30" s="846"/>
      <c r="G30" s="846"/>
      <c r="H30" s="846"/>
      <c r="I30" s="846"/>
      <c r="J30" s="846">
        <v>4086</v>
      </c>
      <c r="K30" s="846">
        <v>4087</v>
      </c>
      <c r="L30" s="846">
        <v>4088</v>
      </c>
      <c r="M30" s="846">
        <v>4089</v>
      </c>
      <c r="N30" s="976">
        <v>4339</v>
      </c>
      <c r="O30" s="976">
        <v>4379</v>
      </c>
      <c r="P30" s="976"/>
      <c r="Q30" s="439" t="s">
        <v>599</v>
      </c>
      <c r="R30" s="439" t="s">
        <v>585</v>
      </c>
      <c r="S30" s="439" t="s">
        <v>600</v>
      </c>
    </row>
    <row r="31" spans="1:19" x14ac:dyDescent="0.25">
      <c r="A31" s="976" t="s">
        <v>603</v>
      </c>
      <c r="B31" s="977" t="s">
        <v>260</v>
      </c>
      <c r="C31" s="967" t="s">
        <v>114</v>
      </c>
      <c r="D31" s="978">
        <v>2687</v>
      </c>
      <c r="E31" s="846"/>
      <c r="F31" s="846">
        <v>3755</v>
      </c>
      <c r="G31" s="846">
        <v>3757</v>
      </c>
      <c r="H31" s="846">
        <v>3861</v>
      </c>
      <c r="I31" s="846">
        <v>3901</v>
      </c>
      <c r="J31" s="846">
        <v>4038</v>
      </c>
      <c r="K31" s="846">
        <v>4112</v>
      </c>
      <c r="L31" s="846">
        <v>4113</v>
      </c>
      <c r="M31" s="846">
        <v>4242</v>
      </c>
      <c r="N31" s="976">
        <v>4308</v>
      </c>
      <c r="O31" s="976">
        <v>4430</v>
      </c>
      <c r="P31" s="976"/>
      <c r="Q31" s="439" t="s">
        <v>601</v>
      </c>
      <c r="R31" s="439" t="s">
        <v>585</v>
      </c>
      <c r="S31" s="439" t="s">
        <v>602</v>
      </c>
    </row>
    <row r="32" spans="1:19" x14ac:dyDescent="0.25">
      <c r="A32" s="976" t="s">
        <v>603</v>
      </c>
      <c r="B32" s="977" t="s">
        <v>318</v>
      </c>
      <c r="C32" s="967">
        <v>3615</v>
      </c>
      <c r="D32" s="978">
        <v>2686</v>
      </c>
      <c r="E32" s="846"/>
      <c r="F32" s="846">
        <v>3741</v>
      </c>
      <c r="G32" s="846">
        <v>3998</v>
      </c>
      <c r="H32" s="846">
        <v>3999</v>
      </c>
      <c r="I32" s="846">
        <v>4114</v>
      </c>
      <c r="J32" s="846">
        <v>4115</v>
      </c>
      <c r="K32" s="846">
        <v>4116</v>
      </c>
      <c r="L32" s="846">
        <v>4117</v>
      </c>
      <c r="M32" s="846">
        <v>4243</v>
      </c>
      <c r="N32" s="976">
        <v>4309</v>
      </c>
      <c r="O32" s="976">
        <v>4431</v>
      </c>
      <c r="P32" s="976"/>
      <c r="Q32" s="439" t="s">
        <v>610</v>
      </c>
      <c r="R32" s="439" t="s">
        <v>585</v>
      </c>
      <c r="S32" s="439" t="s">
        <v>821</v>
      </c>
    </row>
    <row r="33" spans="1:19" x14ac:dyDescent="0.25">
      <c r="A33" s="976"/>
      <c r="B33" s="846" t="s">
        <v>329</v>
      </c>
      <c r="C33" s="967" t="s">
        <v>114</v>
      </c>
      <c r="D33" s="978"/>
      <c r="E33" s="983"/>
      <c r="F33" s="983"/>
      <c r="G33" s="983"/>
      <c r="H33" s="983"/>
      <c r="I33" s="983"/>
      <c r="J33" s="983"/>
      <c r="K33" s="983"/>
      <c r="L33" s="983"/>
      <c r="M33" s="983"/>
      <c r="N33" s="983"/>
      <c r="O33" s="983"/>
      <c r="P33" s="983"/>
    </row>
    <row r="34" spans="1:19" x14ac:dyDescent="0.25">
      <c r="A34" s="976"/>
      <c r="B34" s="846"/>
      <c r="C34" s="967"/>
      <c r="D34" s="978"/>
      <c r="E34" s="983"/>
      <c r="F34" s="983"/>
      <c r="G34" s="983"/>
      <c r="H34" s="983"/>
      <c r="I34" s="983"/>
      <c r="J34" s="983"/>
      <c r="K34" s="983"/>
      <c r="L34" s="983"/>
      <c r="M34" s="983"/>
      <c r="N34" s="983"/>
      <c r="O34" s="983"/>
      <c r="P34" s="983"/>
    </row>
    <row r="35" spans="1:19" x14ac:dyDescent="0.25">
      <c r="A35" s="976"/>
      <c r="B35" s="846"/>
      <c r="C35" s="967"/>
      <c r="D35" s="978"/>
      <c r="E35" s="983"/>
      <c r="F35" s="983"/>
      <c r="G35" s="983"/>
      <c r="H35" s="983"/>
      <c r="I35" s="983"/>
      <c r="J35" s="983"/>
      <c r="K35" s="983"/>
      <c r="L35" s="983"/>
      <c r="M35" s="983"/>
      <c r="N35" s="983"/>
      <c r="O35" s="983"/>
      <c r="P35" s="983"/>
    </row>
    <row r="36" spans="1:19" x14ac:dyDescent="0.25">
      <c r="A36" s="974" t="s">
        <v>551</v>
      </c>
      <c r="B36" s="974"/>
      <c r="C36" s="974"/>
      <c r="D36" s="974"/>
      <c r="E36" s="974"/>
      <c r="F36" s="974"/>
      <c r="G36" s="974"/>
      <c r="H36" s="974"/>
      <c r="I36" s="974"/>
      <c r="J36" s="974"/>
      <c r="K36" s="974"/>
      <c r="L36" s="974"/>
      <c r="M36" s="974"/>
      <c r="N36" s="974"/>
      <c r="O36" s="975"/>
      <c r="P36" s="975"/>
    </row>
    <row r="37" spans="1:19" x14ac:dyDescent="0.25">
      <c r="A37" s="976"/>
      <c r="B37" s="846" t="s">
        <v>53</v>
      </c>
      <c r="C37" s="967">
        <v>3195</v>
      </c>
      <c r="D37" s="978">
        <v>2600</v>
      </c>
      <c r="E37" s="846">
        <v>3711</v>
      </c>
      <c r="F37" s="846">
        <v>3711</v>
      </c>
      <c r="G37" s="846">
        <v>3891</v>
      </c>
      <c r="H37" s="846" t="s">
        <v>552</v>
      </c>
      <c r="I37" s="846">
        <v>3892</v>
      </c>
      <c r="J37" s="846">
        <v>3892</v>
      </c>
      <c r="K37" s="846">
        <v>3970</v>
      </c>
      <c r="L37" s="846">
        <v>4361</v>
      </c>
      <c r="M37" s="976">
        <v>4361</v>
      </c>
      <c r="N37" s="976">
        <v>4361</v>
      </c>
      <c r="O37" s="976"/>
      <c r="P37" s="976"/>
    </row>
    <row r="38" spans="1:19" x14ac:dyDescent="0.25">
      <c r="A38" s="976" t="s">
        <v>553</v>
      </c>
      <c r="B38" s="977" t="s">
        <v>63</v>
      </c>
      <c r="C38" s="967">
        <v>3634</v>
      </c>
      <c r="D38" s="978">
        <v>2879</v>
      </c>
      <c r="E38" s="980"/>
      <c r="F38" s="846">
        <v>3712</v>
      </c>
      <c r="G38" s="846">
        <v>3800</v>
      </c>
      <c r="H38" s="846">
        <v>3904</v>
      </c>
      <c r="I38" s="846">
        <v>3905</v>
      </c>
      <c r="J38" s="846">
        <v>3906</v>
      </c>
      <c r="K38" s="846">
        <v>4118</v>
      </c>
      <c r="L38" s="846">
        <v>4119</v>
      </c>
      <c r="M38" s="976">
        <v>4120</v>
      </c>
      <c r="N38" s="979">
        <v>4310</v>
      </c>
      <c r="O38" s="976">
        <v>4376</v>
      </c>
      <c r="P38" s="976"/>
      <c r="Q38" s="439" t="s">
        <v>611</v>
      </c>
      <c r="R38" s="439" t="s">
        <v>585</v>
      </c>
      <c r="S38" s="439" t="s">
        <v>612</v>
      </c>
    </row>
    <row r="39" spans="1:19" x14ac:dyDescent="0.25">
      <c r="A39" s="976"/>
      <c r="B39" s="846" t="s">
        <v>84</v>
      </c>
      <c r="C39" s="967">
        <v>3449</v>
      </c>
      <c r="D39" s="978"/>
      <c r="E39" s="846"/>
      <c r="F39" s="846"/>
      <c r="G39" s="846"/>
      <c r="H39" s="846"/>
      <c r="I39" s="846"/>
      <c r="J39" s="846"/>
      <c r="K39" s="846"/>
      <c r="L39" s="846"/>
      <c r="M39" s="976"/>
      <c r="N39" s="976"/>
      <c r="O39" s="976"/>
      <c r="P39" s="976"/>
    </row>
    <row r="40" spans="1:19" x14ac:dyDescent="0.25">
      <c r="A40" s="976" t="s">
        <v>553</v>
      </c>
      <c r="B40" s="977" t="s">
        <v>91</v>
      </c>
      <c r="C40" s="967">
        <v>3639</v>
      </c>
      <c r="D40" s="978">
        <v>2559</v>
      </c>
      <c r="E40" s="846"/>
      <c r="F40" s="846">
        <v>3734</v>
      </c>
      <c r="G40" s="846">
        <v>3801</v>
      </c>
      <c r="H40" s="846" t="s">
        <v>554</v>
      </c>
      <c r="I40" s="846">
        <v>3908</v>
      </c>
      <c r="J40" s="846">
        <v>3908</v>
      </c>
      <c r="K40" s="846">
        <v>4121</v>
      </c>
      <c r="L40" s="846">
        <v>4122</v>
      </c>
      <c r="M40" s="976">
        <v>4244</v>
      </c>
      <c r="N40" s="976">
        <v>4311</v>
      </c>
      <c r="O40" s="976">
        <v>4380</v>
      </c>
      <c r="P40" s="976">
        <v>3908</v>
      </c>
      <c r="Q40" s="439" t="s">
        <v>615</v>
      </c>
      <c r="R40" s="439" t="s">
        <v>585</v>
      </c>
      <c r="S40" s="439" t="s">
        <v>616</v>
      </c>
    </row>
    <row r="41" spans="1:19" x14ac:dyDescent="0.25">
      <c r="A41" s="976" t="s">
        <v>553</v>
      </c>
      <c r="B41" s="977" t="s">
        <v>110</v>
      </c>
      <c r="C41" s="967">
        <v>3271</v>
      </c>
      <c r="D41" s="978">
        <v>2239</v>
      </c>
      <c r="E41" s="846"/>
      <c r="F41" s="846">
        <v>3750</v>
      </c>
      <c r="G41" s="846">
        <v>3909</v>
      </c>
      <c r="H41" s="846">
        <v>3910</v>
      </c>
      <c r="I41" s="846">
        <v>4016</v>
      </c>
      <c r="J41" s="846">
        <v>4017</v>
      </c>
      <c r="K41" s="846"/>
      <c r="L41" s="846"/>
      <c r="M41" s="976"/>
      <c r="N41" s="976">
        <v>4360</v>
      </c>
      <c r="O41" s="976"/>
      <c r="P41" s="976"/>
      <c r="Q41" s="439" t="s">
        <v>657</v>
      </c>
      <c r="R41" s="439" t="s">
        <v>585</v>
      </c>
      <c r="S41" s="439" t="s">
        <v>722</v>
      </c>
    </row>
    <row r="42" spans="1:19" x14ac:dyDescent="0.25">
      <c r="A42" s="976" t="s">
        <v>553</v>
      </c>
      <c r="B42" s="846" t="s">
        <v>117</v>
      </c>
      <c r="C42" s="967">
        <v>3227</v>
      </c>
      <c r="D42" s="978">
        <v>2879</v>
      </c>
      <c r="E42" s="846"/>
      <c r="F42" s="846">
        <v>3802</v>
      </c>
      <c r="G42" s="846">
        <v>3803</v>
      </c>
      <c r="H42" s="846">
        <v>3865</v>
      </c>
      <c r="I42" s="846">
        <v>3911</v>
      </c>
      <c r="J42" s="846">
        <v>4039</v>
      </c>
      <c r="K42" s="846">
        <v>4123</v>
      </c>
      <c r="L42" s="846">
        <v>4124</v>
      </c>
      <c r="M42" s="976">
        <v>4245</v>
      </c>
      <c r="N42" s="976">
        <v>4362</v>
      </c>
      <c r="O42" s="976">
        <v>4433</v>
      </c>
      <c r="P42" s="976"/>
      <c r="Q42" s="439" t="s">
        <v>723</v>
      </c>
      <c r="R42" s="439" t="s">
        <v>724</v>
      </c>
      <c r="S42" s="439" t="s">
        <v>725</v>
      </c>
    </row>
    <row r="43" spans="1:19" x14ac:dyDescent="0.25">
      <c r="A43" s="976" t="s">
        <v>553</v>
      </c>
      <c r="B43" s="977" t="s">
        <v>184</v>
      </c>
      <c r="C43" s="967">
        <v>3654</v>
      </c>
      <c r="D43" s="978">
        <v>2687.6</v>
      </c>
      <c r="E43" s="846"/>
      <c r="F43" s="846">
        <v>3714</v>
      </c>
      <c r="G43" s="846">
        <v>3843</v>
      </c>
      <c r="H43" s="846">
        <v>3844</v>
      </c>
      <c r="I43" s="846">
        <v>3912</v>
      </c>
      <c r="J43" s="846">
        <v>4040</v>
      </c>
      <c r="K43" s="846">
        <v>4125</v>
      </c>
      <c r="L43" s="846">
        <v>4126</v>
      </c>
      <c r="M43" s="976">
        <v>4246</v>
      </c>
      <c r="N43" s="979">
        <v>4312</v>
      </c>
      <c r="O43" s="976">
        <v>4407</v>
      </c>
      <c r="P43" s="976"/>
      <c r="Q43" s="439" t="s">
        <v>581</v>
      </c>
      <c r="R43" s="439" t="s">
        <v>585</v>
      </c>
      <c r="S43" s="439" t="s">
        <v>617</v>
      </c>
    </row>
    <row r="44" spans="1:19" x14ac:dyDescent="0.25">
      <c r="A44" s="976" t="s">
        <v>553</v>
      </c>
      <c r="B44" s="977" t="s">
        <v>376</v>
      </c>
      <c r="C44" s="967" t="s">
        <v>77</v>
      </c>
      <c r="D44" s="978">
        <v>2559</v>
      </c>
      <c r="E44" s="846"/>
      <c r="F44" s="846">
        <v>3913</v>
      </c>
      <c r="G44" s="846">
        <v>4005</v>
      </c>
      <c r="H44" s="846">
        <v>4006</v>
      </c>
      <c r="I44" s="846">
        <v>4007</v>
      </c>
      <c r="J44" s="846">
        <v>4022</v>
      </c>
      <c r="K44" s="846">
        <v>4127</v>
      </c>
      <c r="L44" s="846">
        <v>4128</v>
      </c>
      <c r="M44" s="976">
        <v>4247</v>
      </c>
      <c r="N44" s="976">
        <v>4313</v>
      </c>
      <c r="O44" s="976">
        <v>4410</v>
      </c>
      <c r="P44" s="976">
        <v>4008</v>
      </c>
      <c r="Q44" s="439" t="s">
        <v>618</v>
      </c>
      <c r="R44" s="439" t="s">
        <v>585</v>
      </c>
      <c r="S44" s="439" t="s">
        <v>619</v>
      </c>
    </row>
    <row r="45" spans="1:19" x14ac:dyDescent="0.25">
      <c r="A45" s="976"/>
      <c r="B45" s="846" t="s">
        <v>555</v>
      </c>
      <c r="C45" s="967">
        <v>3585</v>
      </c>
      <c r="D45" s="978"/>
      <c r="E45" s="846"/>
      <c r="F45" s="846"/>
      <c r="G45" s="846"/>
      <c r="H45" s="846"/>
      <c r="I45" s="846"/>
      <c r="J45" s="846"/>
      <c r="K45" s="846"/>
      <c r="L45" s="846"/>
      <c r="M45" s="976"/>
      <c r="N45" s="976"/>
      <c r="O45" s="976"/>
      <c r="P45" s="976"/>
    </row>
    <row r="46" spans="1:19" x14ac:dyDescent="0.25">
      <c r="A46" s="439" t="s">
        <v>620</v>
      </c>
      <c r="B46" s="977" t="s">
        <v>308</v>
      </c>
      <c r="C46" s="967" t="s">
        <v>77</v>
      </c>
      <c r="D46" s="978">
        <v>2878</v>
      </c>
      <c r="E46" s="846"/>
      <c r="F46" s="846">
        <v>3729</v>
      </c>
      <c r="G46" s="846">
        <v>3804</v>
      </c>
      <c r="H46" s="846">
        <v>3820</v>
      </c>
      <c r="I46" s="846">
        <v>3914</v>
      </c>
      <c r="J46" s="846">
        <v>4041</v>
      </c>
      <c r="K46" s="846">
        <v>4129</v>
      </c>
      <c r="L46" s="846">
        <v>4130</v>
      </c>
      <c r="M46" s="976">
        <v>4248</v>
      </c>
      <c r="N46" s="976">
        <v>4314</v>
      </c>
      <c r="O46" s="976">
        <v>4434</v>
      </c>
      <c r="P46" s="976"/>
      <c r="Q46" s="439" t="s">
        <v>620</v>
      </c>
      <c r="R46" s="439" t="s">
        <v>585</v>
      </c>
      <c r="S46" s="439" t="s">
        <v>621</v>
      </c>
    </row>
    <row r="47" spans="1:19" x14ac:dyDescent="0.25">
      <c r="A47" s="976" t="s">
        <v>553</v>
      </c>
      <c r="B47" s="977" t="s">
        <v>371</v>
      </c>
      <c r="C47" s="967">
        <v>3687</v>
      </c>
      <c r="D47" s="978">
        <v>2687</v>
      </c>
      <c r="E47" s="846">
        <v>3807</v>
      </c>
      <c r="F47" s="846">
        <v>3763</v>
      </c>
      <c r="G47" s="846">
        <v>3805</v>
      </c>
      <c r="H47" s="846">
        <v>3828</v>
      </c>
      <c r="I47" s="846">
        <v>3915</v>
      </c>
      <c r="J47" s="846">
        <v>4033</v>
      </c>
      <c r="K47" s="846">
        <v>4067</v>
      </c>
      <c r="L47" s="846">
        <v>4084</v>
      </c>
      <c r="M47" s="976">
        <v>4249</v>
      </c>
      <c r="N47" s="976">
        <v>4315</v>
      </c>
      <c r="O47" s="976">
        <v>4435</v>
      </c>
      <c r="P47" s="976"/>
      <c r="Q47" s="439" t="s">
        <v>622</v>
      </c>
      <c r="R47" s="439" t="s">
        <v>585</v>
      </c>
      <c r="S47" s="439" t="s">
        <v>623</v>
      </c>
    </row>
    <row r="48" spans="1:19" x14ac:dyDescent="0.25">
      <c r="A48" s="976"/>
      <c r="B48" s="846" t="s">
        <v>556</v>
      </c>
      <c r="C48" s="967">
        <v>3659</v>
      </c>
      <c r="D48" s="978"/>
      <c r="E48" s="846"/>
      <c r="F48" s="846"/>
      <c r="G48" s="846"/>
      <c r="H48" s="846"/>
      <c r="I48" s="846"/>
      <c r="J48" s="846"/>
      <c r="K48" s="846"/>
      <c r="L48" s="846"/>
      <c r="M48" s="976"/>
      <c r="N48" s="976"/>
      <c r="O48" s="976"/>
      <c r="P48" s="976"/>
    </row>
    <row r="49" spans="1:19" x14ac:dyDescent="0.25">
      <c r="A49" s="976" t="s">
        <v>553</v>
      </c>
      <c r="B49" s="977" t="s">
        <v>464</v>
      </c>
      <c r="C49" s="967">
        <v>3628</v>
      </c>
      <c r="D49" s="978">
        <v>2399</v>
      </c>
      <c r="E49" s="846"/>
      <c r="F49" s="846"/>
      <c r="G49" s="846"/>
      <c r="H49" s="846">
        <v>3916</v>
      </c>
      <c r="I49" s="846">
        <v>3917</v>
      </c>
      <c r="J49" s="846">
        <v>4042</v>
      </c>
      <c r="K49" s="846">
        <v>4131</v>
      </c>
      <c r="L49" s="846">
        <v>4132</v>
      </c>
      <c r="M49" s="976">
        <v>4250</v>
      </c>
      <c r="N49" s="984">
        <v>4332</v>
      </c>
      <c r="O49" s="976"/>
      <c r="P49" s="976"/>
      <c r="Q49" s="439" t="s">
        <v>625</v>
      </c>
      <c r="R49" s="439" t="s">
        <v>585</v>
      </c>
      <c r="S49" s="439" t="s">
        <v>626</v>
      </c>
    </row>
    <row r="50" spans="1:19" x14ac:dyDescent="0.25">
      <c r="A50" s="976"/>
      <c r="B50" s="1118" t="s">
        <v>57</v>
      </c>
      <c r="C50" s="967"/>
      <c r="D50" s="978"/>
      <c r="E50" s="846"/>
      <c r="F50" s="846"/>
      <c r="G50" s="846"/>
      <c r="H50" s="846"/>
      <c r="I50" s="846"/>
      <c r="J50" s="846"/>
      <c r="K50" s="846"/>
      <c r="L50" s="846">
        <v>4343</v>
      </c>
      <c r="M50" s="976"/>
      <c r="N50" s="976"/>
      <c r="O50" s="976">
        <v>4415</v>
      </c>
      <c r="P50" s="976"/>
      <c r="Q50" s="439" t="s">
        <v>685</v>
      </c>
      <c r="R50" s="439" t="s">
        <v>585</v>
      </c>
      <c r="S50" s="439" t="s">
        <v>698</v>
      </c>
    </row>
    <row r="51" spans="1:19" x14ac:dyDescent="0.25">
      <c r="A51" s="976"/>
      <c r="B51" s="846" t="s">
        <v>613</v>
      </c>
      <c r="C51" s="967"/>
      <c r="D51" s="978"/>
      <c r="E51" s="846"/>
      <c r="F51" s="846"/>
      <c r="G51" s="846"/>
      <c r="H51" s="846"/>
      <c r="I51" s="846"/>
      <c r="J51" s="846"/>
      <c r="K51" s="846"/>
      <c r="L51" s="846"/>
      <c r="M51" s="976"/>
      <c r="N51" s="976"/>
      <c r="O51" s="976"/>
      <c r="P51" s="976"/>
    </row>
    <row r="52" spans="1:19" x14ac:dyDescent="0.25">
      <c r="A52" s="976"/>
      <c r="B52" s="846" t="s">
        <v>614</v>
      </c>
      <c r="C52" s="967"/>
      <c r="D52" s="978"/>
      <c r="E52" s="846"/>
      <c r="F52" s="846"/>
      <c r="G52" s="846"/>
      <c r="H52" s="846"/>
      <c r="I52" s="846"/>
      <c r="J52" s="846"/>
      <c r="K52" s="846"/>
      <c r="L52" s="846"/>
      <c r="M52" s="976"/>
      <c r="N52" s="976"/>
      <c r="O52" s="976"/>
      <c r="P52" s="976"/>
    </row>
    <row r="53" spans="1:19" x14ac:dyDescent="0.25">
      <c r="A53" s="976"/>
      <c r="B53" s="846"/>
      <c r="C53" s="967"/>
      <c r="D53" s="978"/>
      <c r="E53" s="846"/>
      <c r="F53" s="846"/>
      <c r="G53" s="846"/>
      <c r="H53" s="846"/>
      <c r="I53" s="846"/>
      <c r="J53" s="846"/>
      <c r="K53" s="846"/>
      <c r="L53" s="846"/>
      <c r="M53" s="976"/>
      <c r="N53" s="976"/>
      <c r="O53" s="976"/>
      <c r="P53" s="976"/>
    </row>
    <row r="54" spans="1:19" x14ac:dyDescent="0.25">
      <c r="A54" s="974" t="s">
        <v>557</v>
      </c>
      <c r="B54" s="974"/>
      <c r="C54" s="974"/>
      <c r="D54" s="974"/>
      <c r="E54" s="974"/>
      <c r="F54" s="974"/>
      <c r="G54" s="974"/>
      <c r="H54" s="974"/>
      <c r="I54" s="974"/>
      <c r="J54" s="974"/>
      <c r="K54" s="974"/>
      <c r="L54" s="974"/>
      <c r="M54" s="974"/>
      <c r="N54" s="974"/>
      <c r="O54" s="975"/>
      <c r="P54" s="975"/>
    </row>
    <row r="55" spans="1:19" x14ac:dyDescent="0.25">
      <c r="A55" s="976" t="s">
        <v>550</v>
      </c>
      <c r="B55" s="846" t="s">
        <v>86</v>
      </c>
      <c r="C55" s="967"/>
      <c r="D55" s="978"/>
      <c r="E55" s="846"/>
      <c r="F55" s="846">
        <v>3918</v>
      </c>
      <c r="G55" s="846">
        <v>3918</v>
      </c>
      <c r="H55" s="846">
        <v>3918</v>
      </c>
      <c r="I55" s="846">
        <v>3918</v>
      </c>
      <c r="J55" s="846">
        <v>3918</v>
      </c>
      <c r="K55" s="846">
        <v>3918</v>
      </c>
      <c r="L55" s="846">
        <v>3918</v>
      </c>
      <c r="M55" s="976">
        <v>3918</v>
      </c>
      <c r="N55" s="976">
        <v>3918</v>
      </c>
      <c r="O55" s="976">
        <v>3918</v>
      </c>
      <c r="P55" s="976">
        <v>3918</v>
      </c>
    </row>
    <row r="56" spans="1:19" x14ac:dyDescent="0.25">
      <c r="A56" s="976"/>
      <c r="B56" s="846" t="s">
        <v>336</v>
      </c>
      <c r="C56" s="967" t="s">
        <v>114</v>
      </c>
      <c r="D56" s="978"/>
      <c r="E56" s="846"/>
      <c r="F56" s="846"/>
      <c r="G56" s="846"/>
      <c r="H56" s="846"/>
      <c r="I56" s="846"/>
      <c r="J56" s="846"/>
      <c r="K56" s="846"/>
      <c r="L56" s="846"/>
      <c r="M56" s="976"/>
      <c r="N56" s="976"/>
      <c r="O56" s="976"/>
      <c r="P56" s="976"/>
    </row>
    <row r="57" spans="1:19" x14ac:dyDescent="0.25">
      <c r="A57" s="976" t="s">
        <v>550</v>
      </c>
      <c r="B57" s="977" t="s">
        <v>97</v>
      </c>
      <c r="C57" s="967">
        <v>3283</v>
      </c>
      <c r="D57" s="978">
        <v>2559</v>
      </c>
      <c r="E57" s="846">
        <v>3722</v>
      </c>
      <c r="F57" s="846">
        <v>3723</v>
      </c>
      <c r="G57" s="846">
        <v>3809</v>
      </c>
      <c r="H57" s="846">
        <v>3866</v>
      </c>
      <c r="I57" s="846">
        <v>3919</v>
      </c>
      <c r="J57" s="846">
        <v>4049</v>
      </c>
      <c r="K57" s="846">
        <v>4069</v>
      </c>
      <c r="L57" s="846">
        <v>4133</v>
      </c>
      <c r="M57" s="976">
        <v>4251</v>
      </c>
      <c r="N57" s="976">
        <v>4316</v>
      </c>
      <c r="O57" s="976">
        <v>4404</v>
      </c>
      <c r="P57" s="976">
        <v>3920</v>
      </c>
      <c r="Q57" s="439" t="s">
        <v>627</v>
      </c>
      <c r="R57" s="439" t="s">
        <v>585</v>
      </c>
      <c r="S57" s="439" t="s">
        <v>628</v>
      </c>
    </row>
    <row r="58" spans="1:19" x14ac:dyDescent="0.25">
      <c r="A58" s="976"/>
      <c r="B58" s="977" t="s">
        <v>99</v>
      </c>
      <c r="C58" s="967" t="s">
        <v>114</v>
      </c>
      <c r="D58" s="978">
        <v>2239</v>
      </c>
      <c r="E58" s="846"/>
      <c r="F58" s="846">
        <v>3922</v>
      </c>
      <c r="G58" s="846">
        <v>3923</v>
      </c>
      <c r="H58" s="846">
        <v>3924</v>
      </c>
      <c r="I58" s="846">
        <v>3925</v>
      </c>
      <c r="J58" s="846">
        <v>4134</v>
      </c>
      <c r="K58" s="846">
        <v>4135</v>
      </c>
      <c r="L58" s="846">
        <v>4136</v>
      </c>
      <c r="M58" s="976">
        <v>4252</v>
      </c>
      <c r="N58" s="976">
        <v>4317</v>
      </c>
      <c r="O58" s="976">
        <v>4437</v>
      </c>
      <c r="P58" s="976"/>
      <c r="Q58" s="439" t="s">
        <v>629</v>
      </c>
      <c r="R58" s="439" t="s">
        <v>585</v>
      </c>
      <c r="S58" s="439" t="s">
        <v>630</v>
      </c>
    </row>
    <row r="59" spans="1:19" x14ac:dyDescent="0.25">
      <c r="A59" s="976"/>
      <c r="B59" s="846" t="s">
        <v>122</v>
      </c>
      <c r="C59" s="967" t="s">
        <v>114</v>
      </c>
      <c r="D59" s="978"/>
      <c r="E59" s="846"/>
      <c r="F59" s="846"/>
      <c r="G59" s="846"/>
      <c r="H59" s="846"/>
      <c r="I59" s="846"/>
      <c r="J59" s="846"/>
      <c r="K59" s="846"/>
      <c r="L59" s="846">
        <v>4416</v>
      </c>
      <c r="M59" s="976">
        <v>4417</v>
      </c>
      <c r="N59" s="976">
        <v>4418</v>
      </c>
      <c r="O59" s="976">
        <v>4419</v>
      </c>
      <c r="P59" s="976"/>
      <c r="Q59" s="439" t="s">
        <v>797</v>
      </c>
      <c r="R59" s="439" t="s">
        <v>585</v>
      </c>
      <c r="S59" s="439" t="s">
        <v>796</v>
      </c>
    </row>
    <row r="60" spans="1:19" x14ac:dyDescent="0.25">
      <c r="A60" s="976" t="s">
        <v>550</v>
      </c>
      <c r="B60" s="977" t="s">
        <v>192</v>
      </c>
      <c r="C60" s="967">
        <v>3595</v>
      </c>
      <c r="D60" s="978">
        <v>3071</v>
      </c>
      <c r="E60" s="846"/>
      <c r="F60" s="846">
        <v>3716</v>
      </c>
      <c r="G60" s="846">
        <v>3810</v>
      </c>
      <c r="H60" s="846">
        <v>3867</v>
      </c>
      <c r="I60" s="846">
        <v>3926</v>
      </c>
      <c r="J60" s="846">
        <v>4050</v>
      </c>
      <c r="K60" s="846">
        <v>4070</v>
      </c>
      <c r="L60" s="846">
        <v>4137</v>
      </c>
      <c r="M60" s="976">
        <v>4253</v>
      </c>
      <c r="N60" s="979">
        <v>4318</v>
      </c>
      <c r="O60" s="976">
        <v>4409</v>
      </c>
      <c r="P60" s="976"/>
      <c r="Q60" s="439" t="s">
        <v>631</v>
      </c>
      <c r="R60" s="439" t="s">
        <v>585</v>
      </c>
      <c r="S60" s="439" t="s">
        <v>632</v>
      </c>
    </row>
    <row r="61" spans="1:19" x14ac:dyDescent="0.25">
      <c r="A61" s="976" t="s">
        <v>550</v>
      </c>
      <c r="B61" s="846" t="s">
        <v>212</v>
      </c>
      <c r="C61" s="967">
        <v>3409</v>
      </c>
      <c r="D61" s="978"/>
      <c r="E61" s="846">
        <v>3702</v>
      </c>
      <c r="F61" s="846">
        <v>3702</v>
      </c>
      <c r="G61" s="846">
        <v>3702</v>
      </c>
      <c r="H61" s="846">
        <v>3702</v>
      </c>
      <c r="I61" s="846">
        <v>3702</v>
      </c>
      <c r="J61" s="846">
        <v>3702</v>
      </c>
      <c r="K61" s="846">
        <v>4064</v>
      </c>
      <c r="L61" s="846">
        <v>4064</v>
      </c>
      <c r="M61" s="976">
        <v>4064</v>
      </c>
      <c r="N61" s="976">
        <v>4064</v>
      </c>
      <c r="O61" s="976">
        <v>4064</v>
      </c>
      <c r="P61" s="976">
        <v>4064</v>
      </c>
    </row>
    <row r="62" spans="1:19" x14ac:dyDescent="0.25">
      <c r="A62" s="976" t="s">
        <v>550</v>
      </c>
      <c r="B62" s="982" t="s">
        <v>214</v>
      </c>
      <c r="C62" s="967">
        <v>3691</v>
      </c>
      <c r="D62" s="978">
        <v>2686</v>
      </c>
      <c r="E62" s="846"/>
      <c r="F62" s="846">
        <v>3753</v>
      </c>
      <c r="G62" s="846">
        <v>3768</v>
      </c>
      <c r="H62" s="846">
        <v>3853</v>
      </c>
      <c r="I62" s="846">
        <v>3927</v>
      </c>
      <c r="J62" s="846">
        <v>4055</v>
      </c>
      <c r="K62" s="846">
        <v>4138</v>
      </c>
      <c r="L62" s="846">
        <v>4139</v>
      </c>
      <c r="M62" s="976">
        <v>4254</v>
      </c>
      <c r="N62" s="976">
        <v>4319</v>
      </c>
      <c r="O62" s="976">
        <v>4405</v>
      </c>
      <c r="P62" s="976"/>
      <c r="Q62" s="439" t="s">
        <v>633</v>
      </c>
      <c r="R62" s="439" t="s">
        <v>585</v>
      </c>
      <c r="S62" s="439" t="s">
        <v>634</v>
      </c>
    </row>
    <row r="63" spans="1:19" x14ac:dyDescent="0.25">
      <c r="A63" s="976"/>
      <c r="B63" s="846" t="s">
        <v>219</v>
      </c>
      <c r="C63" s="967" t="s">
        <v>114</v>
      </c>
      <c r="D63" s="978"/>
      <c r="E63" s="846"/>
      <c r="F63" s="846"/>
      <c r="G63" s="846"/>
      <c r="H63" s="846"/>
      <c r="I63" s="846"/>
      <c r="J63" s="846"/>
      <c r="K63" s="846"/>
      <c r="L63" s="846"/>
      <c r="M63" s="976"/>
      <c r="N63" s="976"/>
      <c r="O63" s="976">
        <v>4427</v>
      </c>
      <c r="P63" s="976"/>
      <c r="Q63" s="439" t="s">
        <v>799</v>
      </c>
      <c r="R63" s="439" t="s">
        <v>585</v>
      </c>
      <c r="S63" s="439" t="s">
        <v>818</v>
      </c>
    </row>
    <row r="64" spans="1:19" x14ac:dyDescent="0.25">
      <c r="A64" s="976"/>
      <c r="B64" s="846" t="s">
        <v>224</v>
      </c>
      <c r="C64" s="967" t="s">
        <v>114</v>
      </c>
      <c r="D64" s="978"/>
      <c r="E64" s="846"/>
      <c r="F64" s="846"/>
      <c r="G64" s="846"/>
      <c r="H64" s="846"/>
      <c r="I64" s="846"/>
      <c r="J64" s="846"/>
      <c r="K64" s="846"/>
      <c r="L64" s="846"/>
      <c r="M64" s="976"/>
      <c r="N64" s="976"/>
      <c r="O64" s="976"/>
      <c r="P64" s="976"/>
    </row>
    <row r="65" spans="1:19" x14ac:dyDescent="0.25">
      <c r="A65" s="976"/>
      <c r="B65" s="846" t="s">
        <v>240</v>
      </c>
      <c r="C65" s="971"/>
      <c r="D65" s="985"/>
      <c r="E65" s="846"/>
      <c r="F65" s="846"/>
      <c r="G65" s="846"/>
      <c r="H65" s="846"/>
      <c r="I65" s="846"/>
      <c r="J65" s="846"/>
      <c r="K65" s="846"/>
      <c r="L65" s="846"/>
      <c r="M65" s="976" t="s">
        <v>558</v>
      </c>
      <c r="N65" s="976" t="s">
        <v>558</v>
      </c>
      <c r="O65" s="976"/>
      <c r="P65" s="976"/>
    </row>
    <row r="66" spans="1:19" x14ac:dyDescent="0.25">
      <c r="A66" s="976" t="s">
        <v>550</v>
      </c>
      <c r="B66" s="977" t="s">
        <v>248</v>
      </c>
      <c r="C66" s="967">
        <v>3689</v>
      </c>
      <c r="D66" s="978">
        <v>2239</v>
      </c>
      <c r="E66" s="846"/>
      <c r="F66" s="846">
        <v>3725</v>
      </c>
      <c r="G66" s="846">
        <v>3770</v>
      </c>
      <c r="H66" s="846">
        <v>3837</v>
      </c>
      <c r="I66" s="846">
        <v>3928</v>
      </c>
      <c r="J66" s="846">
        <v>4047</v>
      </c>
      <c r="K66" s="846">
        <v>4074</v>
      </c>
      <c r="L66" s="846">
        <v>4075</v>
      </c>
      <c r="M66" s="976">
        <v>4255</v>
      </c>
      <c r="N66" s="976">
        <v>4321</v>
      </c>
      <c r="O66" s="976">
        <v>4438</v>
      </c>
      <c r="P66" s="976"/>
      <c r="Q66" s="439" t="s">
        <v>636</v>
      </c>
      <c r="R66" s="439" t="s">
        <v>585</v>
      </c>
      <c r="S66" s="439" t="s">
        <v>637</v>
      </c>
    </row>
    <row r="67" spans="1:19" x14ac:dyDescent="0.25">
      <c r="A67" s="976" t="s">
        <v>550</v>
      </c>
      <c r="B67" s="977" t="s">
        <v>251</v>
      </c>
      <c r="C67" s="967" t="s">
        <v>114</v>
      </c>
      <c r="D67" s="978">
        <v>2686</v>
      </c>
      <c r="E67" s="846"/>
      <c r="F67" s="846">
        <v>4090</v>
      </c>
      <c r="G67" s="846">
        <v>4091</v>
      </c>
      <c r="H67" s="846">
        <v>4092</v>
      </c>
      <c r="I67" s="846">
        <v>4093</v>
      </c>
      <c r="J67" s="846">
        <v>4094</v>
      </c>
      <c r="K67" s="846">
        <v>4095</v>
      </c>
      <c r="L67" s="846">
        <v>4096</v>
      </c>
      <c r="M67" s="976">
        <v>4097</v>
      </c>
      <c r="N67" s="976">
        <v>4324</v>
      </c>
      <c r="O67" s="976">
        <v>4440</v>
      </c>
      <c r="P67" s="976"/>
      <c r="Q67" s="439" t="s">
        <v>642</v>
      </c>
      <c r="R67" s="439" t="s">
        <v>585</v>
      </c>
      <c r="S67" s="439" t="s">
        <v>643</v>
      </c>
    </row>
    <row r="68" spans="1:19" x14ac:dyDescent="0.25">
      <c r="A68" s="976" t="s">
        <v>550</v>
      </c>
      <c r="B68" s="846" t="s">
        <v>267</v>
      </c>
      <c r="C68" s="967">
        <v>3697</v>
      </c>
      <c r="D68" s="978"/>
      <c r="E68" s="846"/>
      <c r="F68" s="846"/>
      <c r="G68" s="846"/>
      <c r="H68" s="846"/>
      <c r="I68" s="846"/>
      <c r="J68" s="846"/>
      <c r="K68" s="846"/>
      <c r="L68" s="846"/>
      <c r="M68" s="976"/>
      <c r="N68" s="976"/>
      <c r="O68" s="976"/>
      <c r="P68" s="976"/>
    </row>
    <row r="69" spans="1:19" x14ac:dyDescent="0.25">
      <c r="A69" s="976" t="s">
        <v>550</v>
      </c>
      <c r="B69" s="846" t="s">
        <v>257</v>
      </c>
      <c r="C69" s="967" t="s">
        <v>114</v>
      </c>
      <c r="D69" s="978">
        <v>2399.25</v>
      </c>
      <c r="E69" s="846">
        <v>3706</v>
      </c>
      <c r="F69" s="846">
        <v>3707</v>
      </c>
      <c r="G69" s="846">
        <v>3765</v>
      </c>
      <c r="H69" s="846">
        <v>3839</v>
      </c>
      <c r="I69" s="846">
        <v>3929</v>
      </c>
      <c r="J69" s="846">
        <v>4048</v>
      </c>
      <c r="K69" s="846">
        <v>4140</v>
      </c>
      <c r="L69" s="846">
        <v>4141</v>
      </c>
      <c r="M69" s="976">
        <v>4256</v>
      </c>
      <c r="N69" s="976">
        <v>4326</v>
      </c>
      <c r="O69" s="976">
        <v>4378</v>
      </c>
      <c r="P69" s="976">
        <v>4011</v>
      </c>
      <c r="Q69" s="439" t="s">
        <v>644</v>
      </c>
      <c r="R69" s="439" t="s">
        <v>585</v>
      </c>
      <c r="S69" s="439" t="s">
        <v>645</v>
      </c>
    </row>
    <row r="70" spans="1:19" x14ac:dyDescent="0.25">
      <c r="A70" s="976"/>
      <c r="B70" s="846" t="s">
        <v>351</v>
      </c>
      <c r="C70" s="967" t="s">
        <v>114</v>
      </c>
      <c r="D70" s="978"/>
      <c r="E70" s="846"/>
      <c r="F70" s="846"/>
      <c r="G70" s="846"/>
      <c r="H70" s="846"/>
      <c r="I70" s="846"/>
      <c r="J70" s="846"/>
      <c r="K70" s="846"/>
      <c r="L70" s="846"/>
      <c r="M70" s="976"/>
      <c r="N70" s="976" t="s">
        <v>558</v>
      </c>
      <c r="O70" s="976" t="s">
        <v>742</v>
      </c>
      <c r="P70" s="976"/>
    </row>
    <row r="71" spans="1:19" x14ac:dyDescent="0.25">
      <c r="A71" s="976" t="s">
        <v>550</v>
      </c>
      <c r="B71" s="977" t="s">
        <v>315</v>
      </c>
      <c r="C71" s="967">
        <v>3231</v>
      </c>
      <c r="D71" s="978">
        <v>2400</v>
      </c>
      <c r="E71" s="846">
        <v>3849</v>
      </c>
      <c r="F71" s="846">
        <v>3850</v>
      </c>
      <c r="G71" s="846">
        <v>3851</v>
      </c>
      <c r="H71" s="846">
        <v>3852</v>
      </c>
      <c r="I71" s="846">
        <v>3930</v>
      </c>
      <c r="J71" s="846">
        <v>4142</v>
      </c>
      <c r="K71" s="846">
        <v>4143</v>
      </c>
      <c r="L71" s="846">
        <v>4144</v>
      </c>
      <c r="M71" s="976">
        <v>4257</v>
      </c>
      <c r="N71" s="976">
        <v>4327</v>
      </c>
      <c r="O71" s="976"/>
      <c r="P71" s="976"/>
      <c r="Q71" s="439" t="s">
        <v>646</v>
      </c>
      <c r="R71" s="439" t="s">
        <v>585</v>
      </c>
      <c r="S71" s="439" t="s">
        <v>647</v>
      </c>
    </row>
    <row r="72" spans="1:19" x14ac:dyDescent="0.25">
      <c r="A72" s="976"/>
      <c r="B72" s="977" t="s">
        <v>366</v>
      </c>
      <c r="C72" s="971" t="s">
        <v>114</v>
      </c>
      <c r="D72" s="985">
        <v>2239</v>
      </c>
      <c r="E72" s="846"/>
      <c r="F72" s="846">
        <v>3778</v>
      </c>
      <c r="G72" s="846">
        <v>3779</v>
      </c>
      <c r="H72" s="846">
        <v>3931</v>
      </c>
      <c r="I72" s="846">
        <v>3932</v>
      </c>
      <c r="J72" s="846">
        <v>4145</v>
      </c>
      <c r="K72" s="846">
        <v>4146</v>
      </c>
      <c r="L72" s="846">
        <v>4147</v>
      </c>
      <c r="M72" s="976">
        <v>4258</v>
      </c>
      <c r="N72" s="979">
        <v>4296</v>
      </c>
      <c r="O72" s="976">
        <v>4411</v>
      </c>
      <c r="P72" s="976">
        <v>3933</v>
      </c>
      <c r="Q72" s="439" t="s">
        <v>776</v>
      </c>
      <c r="R72" s="439" t="s">
        <v>585</v>
      </c>
      <c r="S72" s="439" t="s">
        <v>777</v>
      </c>
    </row>
    <row r="73" spans="1:19" x14ac:dyDescent="0.25">
      <c r="A73" s="976" t="s">
        <v>550</v>
      </c>
      <c r="B73" s="846" t="s">
        <v>266</v>
      </c>
      <c r="C73" s="971" t="s">
        <v>114</v>
      </c>
      <c r="D73" s="985"/>
      <c r="E73" s="846"/>
      <c r="F73" s="846"/>
      <c r="G73" s="846"/>
      <c r="H73" s="846"/>
      <c r="I73" s="846"/>
      <c r="J73" s="846"/>
      <c r="K73" s="846"/>
      <c r="L73" s="846"/>
      <c r="M73" s="976"/>
      <c r="N73" s="976" t="s">
        <v>558</v>
      </c>
      <c r="O73" s="976" t="s">
        <v>742</v>
      </c>
      <c r="P73" s="976"/>
    </row>
    <row r="74" spans="1:19" x14ac:dyDescent="0.25">
      <c r="A74" s="976"/>
      <c r="B74" s="846" t="s">
        <v>416</v>
      </c>
      <c r="C74" s="967" t="s">
        <v>114</v>
      </c>
      <c r="D74" s="978"/>
      <c r="E74" s="846"/>
      <c r="F74" s="846"/>
      <c r="G74" s="846"/>
      <c r="H74" s="846"/>
      <c r="I74" s="846"/>
      <c r="J74" s="846"/>
      <c r="K74" s="846"/>
      <c r="L74" s="846"/>
      <c r="M74" s="976"/>
      <c r="N74" s="976"/>
      <c r="O74" s="976"/>
      <c r="P74" s="976"/>
    </row>
    <row r="75" spans="1:19" x14ac:dyDescent="0.25">
      <c r="A75" s="976" t="s">
        <v>550</v>
      </c>
      <c r="B75" s="982" t="s">
        <v>249</v>
      </c>
      <c r="C75" s="967">
        <v>3276</v>
      </c>
      <c r="D75" s="978">
        <v>2623</v>
      </c>
      <c r="E75" s="846"/>
      <c r="F75" s="846">
        <v>3790</v>
      </c>
      <c r="G75" s="846">
        <v>3791</v>
      </c>
      <c r="H75" s="846">
        <v>4014</v>
      </c>
      <c r="I75" s="846">
        <v>4015</v>
      </c>
      <c r="J75" s="846">
        <v>4015</v>
      </c>
      <c r="K75" s="846">
        <v>4148</v>
      </c>
      <c r="L75" s="846">
        <v>4149</v>
      </c>
      <c r="M75" s="976">
        <v>4259</v>
      </c>
      <c r="N75" s="976">
        <v>4323</v>
      </c>
      <c r="O75" s="976"/>
      <c r="P75" s="976">
        <v>4015</v>
      </c>
      <c r="Q75" s="439" t="s">
        <v>640</v>
      </c>
      <c r="R75" s="439" t="s">
        <v>585</v>
      </c>
      <c r="S75" s="439" t="s">
        <v>641</v>
      </c>
    </row>
    <row r="76" spans="1:19" x14ac:dyDescent="0.25">
      <c r="A76" s="976"/>
      <c r="B76" s="846"/>
      <c r="C76" s="967"/>
      <c r="D76" s="978"/>
      <c r="E76" s="846"/>
      <c r="F76" s="846"/>
      <c r="G76" s="846"/>
      <c r="H76" s="846"/>
      <c r="I76" s="846"/>
      <c r="J76" s="846"/>
      <c r="K76" s="846"/>
      <c r="L76" s="846"/>
      <c r="M76" s="976"/>
      <c r="N76" s="976"/>
      <c r="O76" s="976"/>
      <c r="P76" s="976"/>
    </row>
    <row r="77" spans="1:19" x14ac:dyDescent="0.25">
      <c r="A77" s="974" t="s">
        <v>559</v>
      </c>
      <c r="B77" s="974"/>
      <c r="C77" s="974"/>
      <c r="D77" s="974"/>
      <c r="E77" s="974"/>
      <c r="F77" s="974"/>
      <c r="G77" s="974"/>
      <c r="H77" s="974"/>
      <c r="I77" s="974"/>
      <c r="J77" s="974"/>
      <c r="K77" s="974"/>
      <c r="L77" s="974"/>
      <c r="M77" s="974"/>
      <c r="N77" s="974"/>
      <c r="O77" s="975"/>
      <c r="P77" s="975"/>
    </row>
    <row r="78" spans="1:19" x14ac:dyDescent="0.25">
      <c r="A78" s="976" t="s">
        <v>550</v>
      </c>
      <c r="B78" s="846" t="s">
        <v>101</v>
      </c>
      <c r="C78" s="967">
        <v>3450</v>
      </c>
      <c r="D78" s="978">
        <v>2559</v>
      </c>
      <c r="E78" s="846">
        <v>3710</v>
      </c>
      <c r="F78" s="846">
        <v>3746</v>
      </c>
      <c r="G78" s="846">
        <v>3789</v>
      </c>
      <c r="H78" s="846">
        <v>3934</v>
      </c>
      <c r="I78" s="846">
        <v>3935</v>
      </c>
      <c r="J78" s="846">
        <v>4043</v>
      </c>
      <c r="K78" s="846">
        <v>4063</v>
      </c>
      <c r="L78" s="846">
        <v>4076</v>
      </c>
      <c r="M78" s="976">
        <v>4260</v>
      </c>
      <c r="N78" s="976">
        <v>4333</v>
      </c>
      <c r="O78" s="976">
        <v>4442</v>
      </c>
      <c r="P78" s="976"/>
      <c r="Q78" s="439" t="s">
        <v>653</v>
      </c>
      <c r="R78" s="439" t="s">
        <v>585</v>
      </c>
      <c r="S78" s="439" t="s">
        <v>654</v>
      </c>
    </row>
    <row r="79" spans="1:19" x14ac:dyDescent="0.25">
      <c r="A79" s="976" t="s">
        <v>550</v>
      </c>
      <c r="B79" s="846" t="s">
        <v>112</v>
      </c>
      <c r="C79" s="967">
        <v>3272</v>
      </c>
      <c r="D79" s="978">
        <v>2239</v>
      </c>
      <c r="E79" s="846"/>
      <c r="F79" s="846">
        <v>3751</v>
      </c>
      <c r="G79" s="846">
        <v>4018</v>
      </c>
      <c r="H79" s="846">
        <v>4019</v>
      </c>
      <c r="I79" s="846">
        <v>4020</v>
      </c>
      <c r="J79" s="846">
        <v>4021</v>
      </c>
      <c r="K79" s="846">
        <v>4261</v>
      </c>
      <c r="L79" s="846">
        <v>4262</v>
      </c>
      <c r="M79" s="976">
        <v>4263</v>
      </c>
      <c r="N79" s="976">
        <v>4334</v>
      </c>
      <c r="O79" s="976">
        <v>4408</v>
      </c>
      <c r="P79" s="976"/>
      <c r="Q79" s="439" t="s">
        <v>657</v>
      </c>
      <c r="R79" s="439" t="s">
        <v>585</v>
      </c>
      <c r="S79" s="439" t="s">
        <v>658</v>
      </c>
    </row>
    <row r="80" spans="1:19" x14ac:dyDescent="0.25">
      <c r="A80" s="976" t="s">
        <v>550</v>
      </c>
      <c r="B80" s="846" t="s">
        <v>197</v>
      </c>
      <c r="C80" s="967" t="s">
        <v>77</v>
      </c>
      <c r="D80" s="978">
        <v>2879</v>
      </c>
      <c r="E80" s="846"/>
      <c r="F80" s="846">
        <v>3834</v>
      </c>
      <c r="G80" s="846">
        <v>3835</v>
      </c>
      <c r="H80" s="846">
        <v>3836</v>
      </c>
      <c r="I80" s="846">
        <v>3940</v>
      </c>
      <c r="J80" s="846">
        <v>4150</v>
      </c>
      <c r="K80" s="846">
        <v>4151</v>
      </c>
      <c r="L80" s="846">
        <v>4152</v>
      </c>
      <c r="M80" s="976">
        <v>4264</v>
      </c>
      <c r="N80" s="976">
        <v>4363</v>
      </c>
      <c r="O80" s="976">
        <v>4443</v>
      </c>
      <c r="P80" s="976"/>
      <c r="Q80" s="439" t="s">
        <v>826</v>
      </c>
      <c r="R80" s="439" t="s">
        <v>585</v>
      </c>
      <c r="S80" s="439" t="s">
        <v>825</v>
      </c>
    </row>
    <row r="81" spans="1:19" x14ac:dyDescent="0.25">
      <c r="A81" s="976"/>
      <c r="B81" s="846" t="s">
        <v>226</v>
      </c>
      <c r="C81" s="967">
        <v>3663</v>
      </c>
      <c r="D81" s="978"/>
      <c r="E81" s="846"/>
      <c r="F81" s="846"/>
      <c r="G81" s="846"/>
      <c r="H81" s="846"/>
      <c r="I81" s="846"/>
      <c r="J81" s="846"/>
      <c r="K81" s="846"/>
      <c r="L81" s="846"/>
      <c r="M81" s="976"/>
      <c r="N81" s="976"/>
      <c r="O81" s="976"/>
      <c r="P81" s="976"/>
    </row>
    <row r="82" spans="1:19" x14ac:dyDescent="0.25">
      <c r="A82" s="976"/>
      <c r="B82" s="846" t="s">
        <v>560</v>
      </c>
      <c r="C82" s="967" t="s">
        <v>77</v>
      </c>
      <c r="D82" s="978"/>
      <c r="E82" s="846"/>
      <c r="F82" s="846">
        <v>4232</v>
      </c>
      <c r="G82" s="846">
        <v>4233</v>
      </c>
      <c r="H82" s="846">
        <v>4234</v>
      </c>
      <c r="I82" s="846">
        <v>4071</v>
      </c>
      <c r="J82" s="846">
        <v>4071</v>
      </c>
      <c r="K82" s="846">
        <v>4071</v>
      </c>
      <c r="L82" s="846">
        <v>4235</v>
      </c>
      <c r="M82" s="986"/>
      <c r="N82" s="986"/>
      <c r="O82" s="976"/>
      <c r="P82" s="976"/>
    </row>
    <row r="83" spans="1:19" x14ac:dyDescent="0.25">
      <c r="A83" s="976"/>
      <c r="B83" s="846" t="s">
        <v>407</v>
      </c>
      <c r="C83" s="967">
        <v>3681</v>
      </c>
      <c r="D83" s="978">
        <v>2680</v>
      </c>
      <c r="E83" s="846"/>
      <c r="F83" s="846">
        <v>3936</v>
      </c>
      <c r="G83" s="846">
        <v>3937</v>
      </c>
      <c r="H83" s="846"/>
      <c r="I83" s="846"/>
      <c r="J83" s="846"/>
      <c r="K83" s="846"/>
      <c r="L83" s="846"/>
      <c r="M83" s="976"/>
      <c r="N83" s="976"/>
      <c r="O83" s="976"/>
      <c r="P83" s="976"/>
    </row>
    <row r="84" spans="1:19" x14ac:dyDescent="0.25">
      <c r="A84" s="976"/>
      <c r="B84" s="846" t="s">
        <v>408</v>
      </c>
      <c r="C84" s="967">
        <v>3679</v>
      </c>
      <c r="D84" s="978">
        <v>2680</v>
      </c>
      <c r="E84" s="846"/>
      <c r="F84" s="846">
        <v>3938</v>
      </c>
      <c r="G84" s="846">
        <v>3939</v>
      </c>
      <c r="H84" s="846"/>
      <c r="I84" s="846"/>
      <c r="J84" s="846"/>
      <c r="K84" s="846"/>
      <c r="L84" s="846"/>
      <c r="M84" s="976"/>
      <c r="N84" s="976"/>
      <c r="O84" s="976"/>
      <c r="P84" s="976"/>
    </row>
    <row r="85" spans="1:19" x14ac:dyDescent="0.25">
      <c r="A85" s="976"/>
      <c r="B85" s="846"/>
      <c r="C85" s="967"/>
      <c r="D85" s="978"/>
      <c r="E85" s="846"/>
      <c r="F85" s="846"/>
      <c r="G85" s="846"/>
      <c r="H85" s="846"/>
      <c r="I85" s="846"/>
      <c r="J85" s="846"/>
      <c r="K85" s="846"/>
      <c r="L85" s="846"/>
      <c r="M85" s="976"/>
      <c r="N85" s="976"/>
      <c r="O85" s="976"/>
      <c r="P85" s="976"/>
    </row>
    <row r="86" spans="1:19" x14ac:dyDescent="0.25">
      <c r="A86" s="974" t="s">
        <v>561</v>
      </c>
      <c r="B86" s="974"/>
      <c r="C86" s="974"/>
      <c r="D86" s="974"/>
      <c r="E86" s="974"/>
      <c r="F86" s="974"/>
      <c r="G86" s="974"/>
      <c r="H86" s="974"/>
      <c r="I86" s="974"/>
      <c r="J86" s="974"/>
      <c r="K86" s="974"/>
      <c r="L86" s="974"/>
      <c r="M86" s="974"/>
      <c r="N86" s="974"/>
      <c r="O86" s="975"/>
      <c r="P86" s="975"/>
    </row>
    <row r="87" spans="1:19" x14ac:dyDescent="0.25">
      <c r="A87" s="976" t="s">
        <v>550</v>
      </c>
      <c r="B87" s="846" t="s">
        <v>55</v>
      </c>
      <c r="C87" s="971">
        <v>3641</v>
      </c>
      <c r="D87" s="985">
        <v>2879</v>
      </c>
      <c r="E87" s="846"/>
      <c r="F87" s="846">
        <v>3709</v>
      </c>
      <c r="G87" s="846">
        <v>3813</v>
      </c>
      <c r="H87" s="846">
        <v>3868</v>
      </c>
      <c r="I87" s="846">
        <v>3941</v>
      </c>
      <c r="J87" s="846"/>
      <c r="K87" s="846"/>
      <c r="L87" s="846"/>
      <c r="M87" s="976"/>
      <c r="N87" s="979">
        <v>4297</v>
      </c>
      <c r="O87" s="976">
        <v>4385</v>
      </c>
      <c r="P87" s="976" t="s">
        <v>758</v>
      </c>
      <c r="Q87" s="439" t="s">
        <v>756</v>
      </c>
      <c r="R87" s="439" t="s">
        <v>585</v>
      </c>
      <c r="S87" s="439" t="s">
        <v>757</v>
      </c>
    </row>
    <row r="88" spans="1:19" x14ac:dyDescent="0.25">
      <c r="A88" s="976" t="s">
        <v>550</v>
      </c>
      <c r="B88" s="977" t="s">
        <v>59</v>
      </c>
      <c r="C88" s="967">
        <v>3673</v>
      </c>
      <c r="D88" s="978">
        <v>2686</v>
      </c>
      <c r="E88" s="846"/>
      <c r="F88" s="846">
        <v>3736</v>
      </c>
      <c r="G88" s="846">
        <v>3814</v>
      </c>
      <c r="H88" s="846">
        <v>3869</v>
      </c>
      <c r="I88" s="846">
        <v>3942</v>
      </c>
      <c r="J88" s="846">
        <v>4044</v>
      </c>
      <c r="K88" s="846">
        <v>4155</v>
      </c>
      <c r="L88" s="846">
        <v>4156</v>
      </c>
      <c r="M88" s="976">
        <v>4157</v>
      </c>
      <c r="N88" s="976">
        <v>4364</v>
      </c>
      <c r="O88" s="976">
        <v>4401</v>
      </c>
      <c r="P88" s="976"/>
      <c r="Q88" s="439" t="s">
        <v>726</v>
      </c>
      <c r="R88" s="439" t="s">
        <v>727</v>
      </c>
      <c r="S88" s="439" t="s">
        <v>728</v>
      </c>
    </row>
    <row r="89" spans="1:19" x14ac:dyDescent="0.25">
      <c r="A89" s="976" t="s">
        <v>550</v>
      </c>
      <c r="B89" s="846" t="s">
        <v>71</v>
      </c>
      <c r="C89" s="967">
        <v>3666</v>
      </c>
      <c r="D89" s="978">
        <v>2879</v>
      </c>
      <c r="E89" s="846"/>
      <c r="F89" s="846">
        <v>3943</v>
      </c>
      <c r="G89" s="846">
        <v>3944</v>
      </c>
      <c r="H89" s="846">
        <v>3945</v>
      </c>
      <c r="I89" s="846"/>
      <c r="J89" s="846"/>
      <c r="K89" s="846"/>
      <c r="L89" s="846"/>
      <c r="M89" s="976"/>
      <c r="N89" s="976"/>
      <c r="O89" s="976"/>
      <c r="P89" s="976"/>
    </row>
    <row r="90" spans="1:19" x14ac:dyDescent="0.25">
      <c r="A90" s="976" t="s">
        <v>550</v>
      </c>
      <c r="B90" s="846" t="s">
        <v>106</v>
      </c>
      <c r="C90" s="967" t="s">
        <v>77</v>
      </c>
      <c r="D90" s="978">
        <v>2687</v>
      </c>
      <c r="E90" s="846">
        <v>3498</v>
      </c>
      <c r="F90" s="846">
        <v>3776</v>
      </c>
      <c r="G90" s="846">
        <v>3796</v>
      </c>
      <c r="H90" s="846">
        <v>3870</v>
      </c>
      <c r="I90" s="846">
        <v>3946</v>
      </c>
      <c r="J90" s="846">
        <v>4051</v>
      </c>
      <c r="K90" s="846">
        <v>4158</v>
      </c>
      <c r="L90" s="846">
        <v>4265</v>
      </c>
      <c r="M90" s="976">
        <v>4266</v>
      </c>
      <c r="N90" s="976">
        <v>4367</v>
      </c>
      <c r="O90" s="976">
        <v>4368</v>
      </c>
      <c r="P90" s="976"/>
      <c r="Q90" s="439" t="s">
        <v>729</v>
      </c>
    </row>
    <row r="91" spans="1:19" x14ac:dyDescent="0.25">
      <c r="A91" s="976" t="s">
        <v>550</v>
      </c>
      <c r="B91" s="846" t="s">
        <v>115</v>
      </c>
      <c r="C91" s="967">
        <v>3287</v>
      </c>
      <c r="D91" s="978">
        <v>2240</v>
      </c>
      <c r="E91" s="846">
        <v>3717</v>
      </c>
      <c r="F91" s="846">
        <v>3718</v>
      </c>
      <c r="G91" s="846">
        <v>3847</v>
      </c>
      <c r="H91" s="846">
        <v>3848</v>
      </c>
      <c r="I91" s="846">
        <v>3947</v>
      </c>
      <c r="J91" s="846">
        <v>4159</v>
      </c>
      <c r="K91" s="846">
        <v>4160</v>
      </c>
      <c r="L91" s="846">
        <v>4161</v>
      </c>
      <c r="M91" s="976">
        <v>4267</v>
      </c>
      <c r="N91" s="979">
        <v>4369</v>
      </c>
      <c r="O91" s="976">
        <v>4446</v>
      </c>
      <c r="P91" s="976">
        <v>3948</v>
      </c>
      <c r="Q91" s="439" t="s">
        <v>837</v>
      </c>
      <c r="R91" s="439" t="s">
        <v>838</v>
      </c>
      <c r="S91" s="439" t="s">
        <v>839</v>
      </c>
    </row>
    <row r="92" spans="1:19" x14ac:dyDescent="0.25">
      <c r="A92" s="976" t="s">
        <v>550</v>
      </c>
      <c r="B92" s="846" t="s">
        <v>562</v>
      </c>
      <c r="C92" s="967">
        <v>3651</v>
      </c>
      <c r="D92" s="978">
        <v>3071</v>
      </c>
      <c r="E92" s="846"/>
      <c r="F92" s="846">
        <v>3949</v>
      </c>
      <c r="G92" s="846">
        <v>3950</v>
      </c>
      <c r="H92" s="846">
        <v>3951</v>
      </c>
      <c r="I92" s="846">
        <v>3952</v>
      </c>
      <c r="J92" s="846" t="s">
        <v>649</v>
      </c>
      <c r="K92" s="846" t="s">
        <v>650</v>
      </c>
      <c r="L92" s="846" t="s">
        <v>651</v>
      </c>
      <c r="M92" s="976" t="s">
        <v>651</v>
      </c>
      <c r="N92" s="976" t="s">
        <v>652</v>
      </c>
      <c r="O92" s="976">
        <v>4381</v>
      </c>
      <c r="P92" s="976"/>
      <c r="Q92" s="439" t="s">
        <v>745</v>
      </c>
      <c r="R92" s="439" t="s">
        <v>727</v>
      </c>
      <c r="S92" s="439" t="s">
        <v>746</v>
      </c>
    </row>
    <row r="93" spans="1:19" x14ac:dyDescent="0.25">
      <c r="A93" s="976"/>
      <c r="B93" s="846" t="s">
        <v>238</v>
      </c>
      <c r="C93" s="967" t="s">
        <v>77</v>
      </c>
      <c r="D93" s="978"/>
      <c r="E93" s="846"/>
      <c r="F93" s="846"/>
      <c r="G93" s="846"/>
      <c r="H93" s="846"/>
      <c r="I93" s="846"/>
      <c r="J93" s="846"/>
      <c r="K93" s="846"/>
      <c r="L93" s="846"/>
      <c r="M93" s="976"/>
      <c r="N93" s="976"/>
      <c r="O93" s="976"/>
      <c r="P93" s="976"/>
    </row>
    <row r="94" spans="1:19" x14ac:dyDescent="0.25">
      <c r="A94" s="976" t="s">
        <v>550</v>
      </c>
      <c r="B94" s="1127" t="s">
        <v>246</v>
      </c>
      <c r="C94" s="967">
        <v>3690</v>
      </c>
      <c r="D94" s="978">
        <v>2239</v>
      </c>
      <c r="E94" s="846"/>
      <c r="F94" s="846">
        <v>3726</v>
      </c>
      <c r="G94" s="846">
        <v>3771</v>
      </c>
      <c r="H94" s="846">
        <v>3838</v>
      </c>
      <c r="I94" s="846">
        <v>3953</v>
      </c>
      <c r="J94" s="846">
        <v>4046</v>
      </c>
      <c r="K94" s="846">
        <v>4077</v>
      </c>
      <c r="L94" s="846">
        <v>4078</v>
      </c>
      <c r="M94" s="976">
        <v>4268</v>
      </c>
      <c r="N94" s="976">
        <v>4322</v>
      </c>
      <c r="O94" s="976">
        <v>4439</v>
      </c>
      <c r="P94" s="976"/>
      <c r="Q94" s="439" t="s">
        <v>636</v>
      </c>
      <c r="R94" s="439" t="s">
        <v>585</v>
      </c>
      <c r="S94" s="439" t="s">
        <v>638</v>
      </c>
    </row>
    <row r="95" spans="1:19" x14ac:dyDescent="0.25">
      <c r="A95" s="976" t="s">
        <v>550</v>
      </c>
      <c r="B95" s="977" t="s">
        <v>256</v>
      </c>
      <c r="C95" s="967" t="s">
        <v>77</v>
      </c>
      <c r="D95" s="978">
        <v>2686</v>
      </c>
      <c r="E95" s="846"/>
      <c r="F95" s="846">
        <v>4098</v>
      </c>
      <c r="G95" s="846">
        <v>4099</v>
      </c>
      <c r="H95" s="846">
        <v>4100</v>
      </c>
      <c r="I95" s="846">
        <v>4101</v>
      </c>
      <c r="J95" s="846">
        <v>4102</v>
      </c>
      <c r="K95" s="846">
        <v>4103</v>
      </c>
      <c r="L95" s="846">
        <v>4104</v>
      </c>
      <c r="M95" s="976">
        <v>4105</v>
      </c>
      <c r="N95" s="976">
        <v>4325</v>
      </c>
      <c r="O95" s="976">
        <v>4441</v>
      </c>
      <c r="P95" s="976"/>
      <c r="Q95" s="439" t="s">
        <v>642</v>
      </c>
      <c r="R95" s="439" t="s">
        <v>585</v>
      </c>
      <c r="S95" s="439" t="s">
        <v>824</v>
      </c>
    </row>
    <row r="96" spans="1:19" x14ac:dyDescent="0.25">
      <c r="A96" s="976" t="s">
        <v>550</v>
      </c>
      <c r="B96" s="846" t="s">
        <v>563</v>
      </c>
      <c r="C96" s="967">
        <v>3506</v>
      </c>
      <c r="D96" s="978">
        <v>3147</v>
      </c>
      <c r="E96" s="846"/>
      <c r="F96" s="846">
        <v>4009</v>
      </c>
      <c r="G96" s="846">
        <v>4009</v>
      </c>
      <c r="H96" s="846"/>
      <c r="I96" s="846"/>
      <c r="J96" s="846"/>
      <c r="K96" s="846"/>
      <c r="L96" s="846"/>
      <c r="M96" s="976"/>
      <c r="N96" s="976"/>
      <c r="O96" s="976"/>
      <c r="P96" s="976"/>
      <c r="Q96" s="439" t="s">
        <v>832</v>
      </c>
      <c r="R96" s="439" t="s">
        <v>831</v>
      </c>
      <c r="S96" s="439" t="s">
        <v>833</v>
      </c>
    </row>
    <row r="97" spans="1:19" x14ac:dyDescent="0.25">
      <c r="A97" s="976" t="s">
        <v>550</v>
      </c>
      <c r="B97" s="846" t="s">
        <v>262</v>
      </c>
      <c r="C97" s="967" t="s">
        <v>77</v>
      </c>
      <c r="D97" s="978">
        <v>2687</v>
      </c>
      <c r="E97" s="846"/>
      <c r="F97" s="846">
        <v>3756</v>
      </c>
      <c r="G97" s="846">
        <v>3758</v>
      </c>
      <c r="H97" s="846">
        <v>3862</v>
      </c>
      <c r="I97" s="846">
        <v>3954</v>
      </c>
      <c r="J97" s="846">
        <v>4045</v>
      </c>
      <c r="K97" s="846">
        <v>4165</v>
      </c>
      <c r="L97" s="846">
        <v>4166</v>
      </c>
      <c r="M97" s="976">
        <v>4269</v>
      </c>
      <c r="N97" s="976">
        <v>4447</v>
      </c>
      <c r="O97" s="976"/>
      <c r="P97" s="976"/>
      <c r="Q97" s="439" t="s">
        <v>601</v>
      </c>
      <c r="R97" s="439" t="s">
        <v>831</v>
      </c>
      <c r="S97" s="439" t="s">
        <v>840</v>
      </c>
    </row>
    <row r="98" spans="1:19" x14ac:dyDescent="0.25">
      <c r="A98" s="976" t="s">
        <v>564</v>
      </c>
      <c r="B98" s="846" t="s">
        <v>255</v>
      </c>
      <c r="C98" s="967" t="s">
        <v>77</v>
      </c>
      <c r="D98" s="978"/>
      <c r="E98" s="846"/>
      <c r="F98" s="846"/>
      <c r="G98" s="846"/>
      <c r="H98" s="846"/>
      <c r="I98" s="846"/>
      <c r="J98" s="846"/>
      <c r="K98" s="846"/>
      <c r="L98" s="846"/>
      <c r="M98" s="976"/>
      <c r="N98" s="976" t="s">
        <v>558</v>
      </c>
      <c r="O98" s="976"/>
      <c r="P98" s="976"/>
    </row>
    <row r="99" spans="1:19" ht="13.8" customHeight="1" x14ac:dyDescent="0.25">
      <c r="A99" s="976" t="s">
        <v>550</v>
      </c>
      <c r="B99" s="846" t="s">
        <v>666</v>
      </c>
      <c r="C99" s="967">
        <v>3688</v>
      </c>
      <c r="D99" s="978">
        <v>2687</v>
      </c>
      <c r="E99" s="846">
        <v>3808</v>
      </c>
      <c r="F99" s="846">
        <v>3764</v>
      </c>
      <c r="G99" s="846">
        <v>3806</v>
      </c>
      <c r="H99" s="846">
        <v>3827</v>
      </c>
      <c r="I99" s="846">
        <v>3921</v>
      </c>
      <c r="J99" s="846">
        <v>4034</v>
      </c>
      <c r="K99" s="846">
        <v>4068</v>
      </c>
      <c r="L99" s="846">
        <v>4085</v>
      </c>
      <c r="M99" s="976">
        <v>4270</v>
      </c>
      <c r="N99" s="976">
        <v>4270</v>
      </c>
      <c r="O99" s="976">
        <v>4436</v>
      </c>
      <c r="P99" s="976"/>
      <c r="Q99" s="439" t="s">
        <v>622</v>
      </c>
      <c r="R99" s="439" t="s">
        <v>585</v>
      </c>
      <c r="S99" s="439" t="s">
        <v>667</v>
      </c>
    </row>
    <row r="100" spans="1:19" x14ac:dyDescent="0.25">
      <c r="A100" s="976"/>
      <c r="B100" s="846" t="s">
        <v>377</v>
      </c>
      <c r="C100" s="967">
        <v>3686</v>
      </c>
      <c r="D100" s="978"/>
      <c r="E100" s="846"/>
      <c r="F100" s="846"/>
      <c r="G100" s="846"/>
      <c r="H100" s="846"/>
      <c r="I100" s="846"/>
      <c r="J100" s="846"/>
      <c r="K100" s="846"/>
      <c r="L100" s="846"/>
      <c r="M100" s="976"/>
      <c r="N100" s="976"/>
      <c r="O100" s="976"/>
      <c r="P100" s="976"/>
    </row>
    <row r="101" spans="1:19" x14ac:dyDescent="0.25">
      <c r="A101" s="976"/>
      <c r="B101" s="846"/>
      <c r="C101" s="967"/>
      <c r="D101" s="978"/>
      <c r="E101" s="846"/>
      <c r="F101" s="846"/>
      <c r="G101" s="846"/>
      <c r="H101" s="846"/>
      <c r="I101" s="846"/>
      <c r="J101" s="846"/>
      <c r="K101" s="846"/>
      <c r="L101" s="846"/>
      <c r="M101" s="976"/>
      <c r="N101" s="976"/>
      <c r="O101" s="976"/>
      <c r="P101" s="976"/>
    </row>
    <row r="102" spans="1:19" x14ac:dyDescent="0.25">
      <c r="A102" s="976"/>
      <c r="B102" s="846"/>
      <c r="C102" s="967"/>
      <c r="D102" s="978"/>
      <c r="E102" s="846"/>
      <c r="F102" s="846"/>
      <c r="G102" s="846"/>
      <c r="H102" s="846"/>
      <c r="I102" s="846"/>
      <c r="J102" s="846"/>
      <c r="K102" s="846"/>
      <c r="L102" s="846"/>
      <c r="M102" s="976"/>
      <c r="N102" s="976"/>
      <c r="O102" s="976"/>
      <c r="P102" s="976"/>
    </row>
    <row r="103" spans="1:19" x14ac:dyDescent="0.25">
      <c r="A103" s="976"/>
      <c r="B103" s="846"/>
      <c r="C103" s="967"/>
      <c r="D103" s="978"/>
      <c r="E103" s="846"/>
      <c r="F103" s="846"/>
      <c r="G103" s="846"/>
      <c r="H103" s="846"/>
      <c r="I103" s="846"/>
      <c r="J103" s="846"/>
      <c r="K103" s="846"/>
      <c r="L103" s="846"/>
      <c r="M103" s="976"/>
      <c r="N103" s="976"/>
      <c r="O103" s="976"/>
      <c r="P103" s="976"/>
    </row>
    <row r="104" spans="1:19" x14ac:dyDescent="0.25">
      <c r="A104" s="974" t="s">
        <v>565</v>
      </c>
      <c r="B104" s="974"/>
      <c r="C104" s="974"/>
      <c r="D104" s="974"/>
      <c r="E104" s="974"/>
      <c r="F104" s="974"/>
      <c r="G104" s="974"/>
      <c r="H104" s="974"/>
      <c r="I104" s="974"/>
      <c r="J104" s="974"/>
      <c r="K104" s="974"/>
      <c r="L104" s="974"/>
      <c r="M104" s="974"/>
      <c r="N104" s="974"/>
      <c r="O104" s="975"/>
      <c r="P104" s="975"/>
    </row>
    <row r="105" spans="1:19" x14ac:dyDescent="0.25">
      <c r="A105" s="976" t="s">
        <v>550</v>
      </c>
      <c r="B105" s="1119" t="s">
        <v>58</v>
      </c>
      <c r="C105" s="967">
        <v>3667</v>
      </c>
      <c r="D105" s="978">
        <v>2686</v>
      </c>
      <c r="E105" s="846"/>
      <c r="F105" s="846">
        <v>3738</v>
      </c>
      <c r="G105" s="846">
        <v>3798</v>
      </c>
      <c r="H105" s="846">
        <v>3863</v>
      </c>
      <c r="I105" s="846">
        <v>3902</v>
      </c>
      <c r="J105" s="846">
        <v>4167</v>
      </c>
      <c r="K105" s="846">
        <v>4168</v>
      </c>
      <c r="L105" s="846">
        <v>4169</v>
      </c>
      <c r="M105" s="976">
        <v>4271</v>
      </c>
      <c r="N105" s="976">
        <v>4345</v>
      </c>
      <c r="O105" s="976">
        <v>4414</v>
      </c>
      <c r="P105" s="976"/>
      <c r="Q105" s="439" t="s">
        <v>685</v>
      </c>
      <c r="R105" s="439" t="s">
        <v>585</v>
      </c>
      <c r="S105" s="439" t="s">
        <v>686</v>
      </c>
    </row>
    <row r="106" spans="1:19" x14ac:dyDescent="0.25">
      <c r="A106" s="976"/>
      <c r="B106" s="846" t="s">
        <v>98</v>
      </c>
      <c r="C106" s="967">
        <v>3575</v>
      </c>
      <c r="D106" s="978">
        <v>2879</v>
      </c>
      <c r="E106" s="846"/>
      <c r="F106" s="846">
        <v>3713</v>
      </c>
      <c r="G106" s="846">
        <v>3816</v>
      </c>
      <c r="H106" s="846">
        <v>3871</v>
      </c>
      <c r="I106" s="846">
        <v>3955</v>
      </c>
      <c r="J106" s="846">
        <v>4170</v>
      </c>
      <c r="K106" s="846">
        <v>4171</v>
      </c>
      <c r="L106" s="846">
        <v>4172</v>
      </c>
      <c r="M106" s="976">
        <v>4272</v>
      </c>
      <c r="N106" s="976">
        <v>4336</v>
      </c>
      <c r="O106" s="976">
        <v>4449</v>
      </c>
      <c r="P106" s="976"/>
      <c r="Q106" s="439" t="s">
        <v>687</v>
      </c>
      <c r="R106" s="439" t="s">
        <v>585</v>
      </c>
      <c r="S106" s="439" t="s">
        <v>688</v>
      </c>
    </row>
    <row r="107" spans="1:19" x14ac:dyDescent="0.25">
      <c r="A107" s="976"/>
      <c r="B107" s="846" t="s">
        <v>116</v>
      </c>
      <c r="C107" s="967" t="s">
        <v>77</v>
      </c>
      <c r="D107" s="978">
        <v>2239</v>
      </c>
      <c r="E107" s="846">
        <v>3698</v>
      </c>
      <c r="F107" s="846">
        <v>3732</v>
      </c>
      <c r="G107" s="846">
        <v>3786</v>
      </c>
      <c r="H107" s="846">
        <v>3825</v>
      </c>
      <c r="I107" s="846">
        <v>3893</v>
      </c>
      <c r="J107" s="846">
        <v>4031</v>
      </c>
      <c r="K107" s="846">
        <v>4173</v>
      </c>
      <c r="L107" s="846">
        <v>4174</v>
      </c>
      <c r="M107" s="976">
        <v>4273</v>
      </c>
      <c r="N107" s="976">
        <v>4370</v>
      </c>
      <c r="O107" s="976">
        <v>4397</v>
      </c>
      <c r="P107" s="976">
        <v>3894</v>
      </c>
      <c r="Q107" s="439" t="s">
        <v>771</v>
      </c>
      <c r="R107" s="439" t="s">
        <v>585</v>
      </c>
      <c r="S107" s="439" t="s">
        <v>772</v>
      </c>
    </row>
    <row r="108" spans="1:19" x14ac:dyDescent="0.25">
      <c r="A108" s="976"/>
      <c r="B108" s="977" t="s">
        <v>128</v>
      </c>
      <c r="C108" s="967" t="s">
        <v>77</v>
      </c>
      <c r="D108" s="978">
        <v>2686</v>
      </c>
      <c r="E108" s="846"/>
      <c r="F108" s="846">
        <v>3728</v>
      </c>
      <c r="G108" s="846">
        <v>3781</v>
      </c>
      <c r="H108" s="846">
        <v>3856</v>
      </c>
      <c r="I108" s="846">
        <v>3956</v>
      </c>
      <c r="J108" s="846">
        <v>4053</v>
      </c>
      <c r="K108" s="846">
        <v>4175</v>
      </c>
      <c r="L108" s="846">
        <v>4176</v>
      </c>
      <c r="M108" s="976">
        <v>4274</v>
      </c>
      <c r="N108" s="976">
        <v>4354</v>
      </c>
      <c r="O108" s="976" t="s">
        <v>682</v>
      </c>
      <c r="P108" s="976"/>
      <c r="Q108" s="439" t="s">
        <v>586</v>
      </c>
      <c r="R108" s="439" t="s">
        <v>717</v>
      </c>
      <c r="S108" s="439" t="s">
        <v>718</v>
      </c>
    </row>
    <row r="109" spans="1:19" x14ac:dyDescent="0.25">
      <c r="A109" s="976" t="s">
        <v>550</v>
      </c>
      <c r="B109" s="846" t="s">
        <v>132</v>
      </c>
      <c r="C109" s="967" t="s">
        <v>77</v>
      </c>
      <c r="D109" s="985">
        <v>2559</v>
      </c>
      <c r="E109" s="846"/>
      <c r="F109" s="846">
        <v>3735</v>
      </c>
      <c r="G109" s="846">
        <v>3840</v>
      </c>
      <c r="H109" s="846">
        <v>3841</v>
      </c>
      <c r="I109" s="846">
        <v>3957</v>
      </c>
      <c r="J109" s="846">
        <v>4030</v>
      </c>
      <c r="K109" s="846">
        <v>4177</v>
      </c>
      <c r="L109" s="846">
        <v>4178</v>
      </c>
      <c r="M109" s="1334" t="s">
        <v>732</v>
      </c>
      <c r="N109" s="1335"/>
      <c r="O109" s="976"/>
      <c r="P109" s="976">
        <v>3957</v>
      </c>
      <c r="Q109" s="439" t="s">
        <v>580</v>
      </c>
      <c r="R109" s="439" t="s">
        <v>717</v>
      </c>
      <c r="S109" s="439" t="s">
        <v>731</v>
      </c>
    </row>
    <row r="110" spans="1:19" x14ac:dyDescent="0.25">
      <c r="A110" s="976" t="s">
        <v>550</v>
      </c>
      <c r="B110" s="977" t="s">
        <v>215</v>
      </c>
      <c r="C110" s="967">
        <v>3692</v>
      </c>
      <c r="D110" s="978">
        <v>2686</v>
      </c>
      <c r="E110" s="846"/>
      <c r="F110" s="846">
        <v>3754</v>
      </c>
      <c r="G110" s="846">
        <v>3769</v>
      </c>
      <c r="H110" s="846">
        <v>3854</v>
      </c>
      <c r="I110" s="846">
        <v>3958</v>
      </c>
      <c r="J110" s="846">
        <v>4054</v>
      </c>
      <c r="K110" s="846">
        <v>4179</v>
      </c>
      <c r="L110" s="846">
        <v>4180</v>
      </c>
      <c r="M110" s="976">
        <v>4275</v>
      </c>
      <c r="N110" s="971">
        <v>4320</v>
      </c>
      <c r="O110" s="976">
        <v>4386</v>
      </c>
      <c r="P110" s="976"/>
      <c r="Q110" s="439" t="s">
        <v>633</v>
      </c>
      <c r="R110" s="439" t="s">
        <v>585</v>
      </c>
      <c r="S110" s="439" t="s">
        <v>635</v>
      </c>
    </row>
    <row r="111" spans="1:19" x14ac:dyDescent="0.25">
      <c r="A111" s="976"/>
      <c r="B111" s="846" t="s">
        <v>296</v>
      </c>
      <c r="C111" s="967" t="s">
        <v>77</v>
      </c>
      <c r="D111" s="985">
        <v>2879</v>
      </c>
      <c r="E111" s="846"/>
      <c r="F111" s="846">
        <v>3748</v>
      </c>
      <c r="G111" s="846">
        <v>3752</v>
      </c>
      <c r="H111" s="846">
        <v>3819</v>
      </c>
      <c r="I111" s="846">
        <v>3819</v>
      </c>
      <c r="J111" s="846">
        <v>3819</v>
      </c>
      <c r="K111" s="846">
        <v>3819</v>
      </c>
      <c r="L111" s="846">
        <v>3819</v>
      </c>
      <c r="M111" s="976">
        <v>3819</v>
      </c>
      <c r="N111" s="976">
        <v>3819</v>
      </c>
      <c r="O111" s="976">
        <v>4371</v>
      </c>
      <c r="P111" s="976"/>
      <c r="Q111" s="439" t="s">
        <v>694</v>
      </c>
      <c r="R111" s="439" t="s">
        <v>585</v>
      </c>
      <c r="S111" s="439" t="s">
        <v>695</v>
      </c>
    </row>
    <row r="112" spans="1:19" x14ac:dyDescent="0.25">
      <c r="A112" s="976" t="s">
        <v>550</v>
      </c>
      <c r="B112" s="846" t="s">
        <v>298</v>
      </c>
      <c r="C112" s="967" t="s">
        <v>77</v>
      </c>
      <c r="D112" s="978">
        <v>2879</v>
      </c>
      <c r="E112" s="846"/>
      <c r="F112" s="846">
        <v>3747</v>
      </c>
      <c r="G112" s="846">
        <v>3817</v>
      </c>
      <c r="H112" s="846">
        <v>3872</v>
      </c>
      <c r="I112" s="846">
        <v>3959</v>
      </c>
      <c r="J112" s="846">
        <v>4013</v>
      </c>
      <c r="K112" s="846">
        <v>4181</v>
      </c>
      <c r="L112" s="846">
        <v>4182</v>
      </c>
      <c r="M112" s="976">
        <v>4183</v>
      </c>
      <c r="N112" s="976">
        <v>4348</v>
      </c>
      <c r="O112" s="976">
        <v>4390</v>
      </c>
      <c r="Q112" s="439" t="s">
        <v>703</v>
      </c>
      <c r="R112" s="439" t="s">
        <v>704</v>
      </c>
      <c r="S112" s="439" t="s">
        <v>705</v>
      </c>
    </row>
    <row r="113" spans="1:19" x14ac:dyDescent="0.25">
      <c r="A113" s="976" t="s">
        <v>550</v>
      </c>
      <c r="B113" s="846" t="s">
        <v>299</v>
      </c>
      <c r="C113" s="967" t="s">
        <v>77</v>
      </c>
      <c r="D113" s="978">
        <v>2879</v>
      </c>
      <c r="E113" s="846"/>
      <c r="F113" s="846">
        <v>3731</v>
      </c>
      <c r="G113" s="846">
        <v>3818</v>
      </c>
      <c r="H113" s="846">
        <v>3873</v>
      </c>
      <c r="I113" s="846">
        <v>3960</v>
      </c>
      <c r="J113" s="846">
        <v>4184</v>
      </c>
      <c r="K113" s="846">
        <v>4185</v>
      </c>
      <c r="L113" s="846">
        <v>4186</v>
      </c>
      <c r="M113" s="976">
        <v>4276</v>
      </c>
      <c r="N113" s="976">
        <v>4349</v>
      </c>
      <c r="O113" s="976">
        <v>4450</v>
      </c>
      <c r="P113" s="976"/>
      <c r="Q113" s="439" t="s">
        <v>706</v>
      </c>
      <c r="R113" s="439" t="s">
        <v>704</v>
      </c>
      <c r="S113" s="439" t="s">
        <v>707</v>
      </c>
    </row>
    <row r="114" spans="1:19" x14ac:dyDescent="0.25">
      <c r="A114" s="976" t="s">
        <v>550</v>
      </c>
      <c r="B114" s="846" t="s">
        <v>340</v>
      </c>
      <c r="C114" s="967" t="s">
        <v>77</v>
      </c>
      <c r="D114" s="978">
        <v>2879</v>
      </c>
      <c r="E114" s="846"/>
      <c r="F114" s="846">
        <v>3811</v>
      </c>
      <c r="G114" s="846">
        <v>3812</v>
      </c>
      <c r="H114" s="846">
        <v>3874</v>
      </c>
      <c r="I114" s="846">
        <v>3961</v>
      </c>
      <c r="J114" s="846">
        <v>4187</v>
      </c>
      <c r="K114" s="846">
        <v>4188</v>
      </c>
      <c r="L114" s="846">
        <v>4189</v>
      </c>
      <c r="M114" s="976">
        <v>4277</v>
      </c>
      <c r="N114" s="976">
        <v>4350</v>
      </c>
      <c r="O114" s="976">
        <v>4412</v>
      </c>
      <c r="P114" s="976"/>
      <c r="Q114" s="439" t="s">
        <v>708</v>
      </c>
      <c r="R114" s="439" t="s">
        <v>709</v>
      </c>
      <c r="S114" s="439" t="s">
        <v>752</v>
      </c>
    </row>
    <row r="115" spans="1:19" x14ac:dyDescent="0.25">
      <c r="A115" s="976" t="s">
        <v>550</v>
      </c>
      <c r="B115" s="846" t="s">
        <v>327</v>
      </c>
      <c r="C115" s="967">
        <v>3050</v>
      </c>
      <c r="D115" s="978">
        <v>1750</v>
      </c>
      <c r="E115" s="846"/>
      <c r="F115" s="846">
        <v>3962</v>
      </c>
      <c r="G115" s="846">
        <v>3963</v>
      </c>
      <c r="H115" s="846">
        <v>3964</v>
      </c>
      <c r="I115" s="846">
        <v>3965</v>
      </c>
      <c r="J115" s="846">
        <v>4190</v>
      </c>
      <c r="K115" s="846">
        <v>4191</v>
      </c>
      <c r="L115" s="846">
        <v>4192</v>
      </c>
      <c r="M115" s="976">
        <v>4278</v>
      </c>
      <c r="N115" s="976">
        <v>4351</v>
      </c>
      <c r="O115" s="979">
        <v>4451</v>
      </c>
      <c r="P115" s="976"/>
      <c r="Q115" s="439" t="s">
        <v>710</v>
      </c>
      <c r="R115" s="439" t="s">
        <v>609</v>
      </c>
      <c r="S115" s="439" t="s">
        <v>711</v>
      </c>
    </row>
    <row r="116" spans="1:19" x14ac:dyDescent="0.25">
      <c r="A116" s="976" t="s">
        <v>550</v>
      </c>
      <c r="B116" s="846" t="s">
        <v>362</v>
      </c>
      <c r="C116" s="967" t="s">
        <v>77</v>
      </c>
      <c r="D116" s="978">
        <v>2399.25</v>
      </c>
      <c r="E116" s="846"/>
      <c r="F116" s="846">
        <v>3761</v>
      </c>
      <c r="G116" s="846">
        <v>3762</v>
      </c>
      <c r="H116" s="846">
        <v>3762</v>
      </c>
      <c r="I116" s="846">
        <v>3762</v>
      </c>
      <c r="J116" s="846">
        <v>4153</v>
      </c>
      <c r="K116" s="846">
        <v>4153</v>
      </c>
      <c r="L116" s="846">
        <v>4153</v>
      </c>
      <c r="M116" s="976">
        <v>4154</v>
      </c>
      <c r="N116" s="976">
        <v>4154</v>
      </c>
      <c r="O116" s="976">
        <v>4453</v>
      </c>
      <c r="P116" s="976"/>
      <c r="Q116" s="439" t="s">
        <v>843</v>
      </c>
      <c r="R116" s="439" t="s">
        <v>609</v>
      </c>
      <c r="S116" s="439" t="s">
        <v>844</v>
      </c>
    </row>
    <row r="117" spans="1:19" s="987" customFormat="1" x14ac:dyDescent="0.25">
      <c r="A117" s="971" t="s">
        <v>550</v>
      </c>
      <c r="B117" s="977" t="s">
        <v>363</v>
      </c>
      <c r="C117" s="967">
        <v>3438</v>
      </c>
      <c r="D117" s="978"/>
      <c r="E117" s="977"/>
      <c r="F117" s="977"/>
      <c r="G117" s="977"/>
      <c r="H117" s="977"/>
      <c r="I117" s="977"/>
      <c r="J117" s="977"/>
      <c r="K117" s="977"/>
      <c r="L117" s="977"/>
      <c r="M117" s="971"/>
      <c r="N117" s="971"/>
      <c r="O117" s="971"/>
      <c r="P117" s="971"/>
      <c r="Q117" s="987" t="s">
        <v>750</v>
      </c>
      <c r="R117" s="987" t="s">
        <v>609</v>
      </c>
      <c r="S117" s="987" t="s">
        <v>751</v>
      </c>
    </row>
    <row r="118" spans="1:19" x14ac:dyDescent="0.25">
      <c r="A118" s="976" t="s">
        <v>550</v>
      </c>
      <c r="B118" s="846" t="s">
        <v>365</v>
      </c>
      <c r="C118" s="967">
        <v>3630</v>
      </c>
      <c r="D118" s="978"/>
      <c r="E118" s="846"/>
      <c r="F118" s="846"/>
      <c r="G118" s="846"/>
      <c r="H118" s="846"/>
      <c r="I118" s="846"/>
      <c r="J118" s="846"/>
      <c r="K118" s="846"/>
      <c r="L118" s="846"/>
      <c r="M118" s="976"/>
      <c r="N118" s="976"/>
      <c r="O118" s="976"/>
      <c r="P118" s="976"/>
    </row>
    <row r="119" spans="1:19" x14ac:dyDescent="0.25">
      <c r="A119" s="976"/>
      <c r="B119" s="846" t="s">
        <v>566</v>
      </c>
      <c r="C119" s="967" t="s">
        <v>77</v>
      </c>
      <c r="D119" s="978"/>
      <c r="E119" s="846"/>
      <c r="F119" s="846"/>
      <c r="G119" s="846"/>
      <c r="H119" s="846"/>
      <c r="I119" s="846"/>
      <c r="J119" s="846"/>
      <c r="K119" s="846"/>
      <c r="L119" s="846"/>
      <c r="M119" s="976"/>
      <c r="N119" s="976"/>
      <c r="O119" s="976"/>
      <c r="P119" s="976"/>
    </row>
    <row r="120" spans="1:19" x14ac:dyDescent="0.25">
      <c r="A120" s="976"/>
      <c r="B120" s="846" t="s">
        <v>419</v>
      </c>
      <c r="C120" s="967" t="s">
        <v>77</v>
      </c>
      <c r="D120" s="978"/>
      <c r="E120" s="846"/>
      <c r="F120" s="846"/>
      <c r="G120" s="846"/>
      <c r="H120" s="846"/>
      <c r="I120" s="846"/>
      <c r="J120" s="846"/>
      <c r="K120" s="846"/>
      <c r="L120" s="846"/>
      <c r="M120" s="976"/>
      <c r="N120" s="976"/>
      <c r="O120" s="976"/>
      <c r="P120" s="976"/>
    </row>
    <row r="121" spans="1:19" x14ac:dyDescent="0.25">
      <c r="A121" s="976"/>
      <c r="B121" s="846" t="s">
        <v>567</v>
      </c>
      <c r="C121" s="967"/>
      <c r="D121" s="978"/>
      <c r="E121" s="846"/>
      <c r="F121" s="846"/>
      <c r="G121" s="846"/>
      <c r="H121" s="846"/>
      <c r="I121" s="846"/>
      <c r="J121" s="846"/>
      <c r="K121" s="846"/>
      <c r="L121" s="846"/>
      <c r="M121" s="976"/>
      <c r="N121" s="988" t="s">
        <v>558</v>
      </c>
      <c r="O121" s="976" t="s">
        <v>558</v>
      </c>
      <c r="P121" s="976"/>
    </row>
    <row r="122" spans="1:19" x14ac:dyDescent="0.25">
      <c r="A122" s="976"/>
      <c r="B122" s="846"/>
      <c r="C122" s="967"/>
      <c r="D122" s="978"/>
      <c r="E122" s="846"/>
      <c r="F122" s="846"/>
      <c r="G122" s="846"/>
      <c r="H122" s="846"/>
      <c r="I122" s="846"/>
      <c r="J122" s="846"/>
      <c r="K122" s="846"/>
      <c r="L122" s="846"/>
      <c r="M122" s="976"/>
      <c r="N122" s="976"/>
      <c r="O122" s="976"/>
      <c r="P122" s="976"/>
    </row>
    <row r="123" spans="1:19" x14ac:dyDescent="0.25">
      <c r="A123" s="974" t="s">
        <v>568</v>
      </c>
      <c r="B123" s="974"/>
      <c r="C123" s="974"/>
      <c r="D123" s="974"/>
      <c r="E123" s="974"/>
      <c r="F123" s="974"/>
      <c r="G123" s="974"/>
      <c r="H123" s="974"/>
      <c r="I123" s="974"/>
      <c r="J123" s="974"/>
      <c r="K123" s="974"/>
      <c r="L123" s="974"/>
      <c r="M123" s="974"/>
      <c r="N123" s="974"/>
      <c r="O123" s="975"/>
      <c r="P123" s="975"/>
    </row>
    <row r="124" spans="1:19" x14ac:dyDescent="0.25">
      <c r="A124" s="976"/>
      <c r="B124" s="846" t="s">
        <v>79</v>
      </c>
      <c r="C124" s="967" t="s">
        <v>77</v>
      </c>
      <c r="D124" s="978">
        <v>2874</v>
      </c>
      <c r="E124" s="846"/>
      <c r="F124" s="846">
        <v>3774</v>
      </c>
      <c r="G124" s="846">
        <v>3971</v>
      </c>
      <c r="H124" s="846"/>
      <c r="I124" s="846"/>
      <c r="J124" s="846"/>
      <c r="K124" s="846"/>
      <c r="L124" s="846"/>
      <c r="M124" s="976"/>
      <c r="N124" s="976"/>
      <c r="O124" s="976"/>
      <c r="P124" s="976"/>
    </row>
    <row r="125" spans="1:19" x14ac:dyDescent="0.25">
      <c r="A125" s="976"/>
      <c r="B125" s="846" t="s">
        <v>81</v>
      </c>
      <c r="C125" s="967" t="s">
        <v>77</v>
      </c>
      <c r="D125" s="978"/>
      <c r="E125" s="846"/>
      <c r="F125" s="846"/>
      <c r="G125" s="846"/>
      <c r="H125" s="846"/>
      <c r="I125" s="846"/>
      <c r="J125" s="846"/>
      <c r="K125" s="846"/>
      <c r="L125" s="846"/>
      <c r="M125" s="976"/>
      <c r="N125" s="976"/>
      <c r="O125" s="976">
        <v>4382</v>
      </c>
      <c r="P125" s="976"/>
      <c r="Q125" s="439" t="s">
        <v>749</v>
      </c>
      <c r="R125" s="439" t="s">
        <v>609</v>
      </c>
      <c r="S125" s="439" t="s">
        <v>753</v>
      </c>
    </row>
    <row r="126" spans="1:19" x14ac:dyDescent="0.25">
      <c r="A126" s="976"/>
      <c r="B126" s="846" t="s">
        <v>569</v>
      </c>
      <c r="C126" s="967" t="s">
        <v>77</v>
      </c>
      <c r="D126" s="978">
        <v>3167</v>
      </c>
      <c r="E126" s="846"/>
      <c r="F126" s="846">
        <v>3724</v>
      </c>
      <c r="G126" s="846">
        <v>3775</v>
      </c>
      <c r="H126" s="846">
        <v>3823</v>
      </c>
      <c r="I126" s="846">
        <v>3888</v>
      </c>
      <c r="J126" s="846">
        <v>4012</v>
      </c>
      <c r="K126" s="846">
        <v>4066</v>
      </c>
      <c r="L126" s="846">
        <v>4079</v>
      </c>
      <c r="M126" s="976">
        <v>4279</v>
      </c>
      <c r="N126" s="976">
        <v>4301</v>
      </c>
      <c r="O126" s="976">
        <v>4392</v>
      </c>
      <c r="P126" s="976"/>
      <c r="Q126" s="439" t="s">
        <v>570</v>
      </c>
      <c r="R126" s="439" t="s">
        <v>609</v>
      </c>
      <c r="S126" s="439" t="s">
        <v>733</v>
      </c>
    </row>
    <row r="127" spans="1:19" x14ac:dyDescent="0.25">
      <c r="A127" s="976"/>
      <c r="B127" s="977" t="s">
        <v>104</v>
      </c>
      <c r="C127" s="967" t="s">
        <v>77</v>
      </c>
      <c r="D127" s="978">
        <v>2771</v>
      </c>
      <c r="E127" s="846">
        <v>3497</v>
      </c>
      <c r="F127" s="846">
        <v>3777</v>
      </c>
      <c r="G127" s="846">
        <v>3795</v>
      </c>
      <c r="H127" s="846">
        <v>3875</v>
      </c>
      <c r="I127" s="846">
        <v>3972</v>
      </c>
      <c r="J127" s="846">
        <v>4052</v>
      </c>
      <c r="K127" s="846">
        <v>4193</v>
      </c>
      <c r="L127" s="846">
        <v>4194</v>
      </c>
      <c r="M127" s="976">
        <v>4280</v>
      </c>
      <c r="N127" s="976">
        <v>4365</v>
      </c>
      <c r="O127" s="976">
        <v>4366</v>
      </c>
      <c r="P127" s="976"/>
    </row>
    <row r="128" spans="1:19" x14ac:dyDescent="0.25">
      <c r="A128" s="976"/>
      <c r="B128" s="846" t="s">
        <v>118</v>
      </c>
      <c r="C128" s="967" t="s">
        <v>77</v>
      </c>
      <c r="D128" s="978">
        <v>2309</v>
      </c>
      <c r="E128" s="846">
        <v>3699</v>
      </c>
      <c r="F128" s="846">
        <v>3705</v>
      </c>
      <c r="G128" s="846">
        <v>3787</v>
      </c>
      <c r="H128" s="846">
        <v>3824</v>
      </c>
      <c r="I128" s="846"/>
      <c r="J128" s="846"/>
      <c r="K128" s="846"/>
      <c r="L128" s="846"/>
      <c r="M128" s="976"/>
      <c r="N128" s="976"/>
      <c r="O128" s="976"/>
      <c r="P128" s="976"/>
    </row>
    <row r="129" spans="1:19" x14ac:dyDescent="0.25">
      <c r="A129" s="976"/>
      <c r="B129" s="846" t="s">
        <v>119</v>
      </c>
      <c r="C129" s="967" t="s">
        <v>77</v>
      </c>
      <c r="D129" s="978"/>
      <c r="E129" s="846"/>
      <c r="F129" s="846"/>
      <c r="G129" s="846"/>
      <c r="H129" s="846"/>
      <c r="I129" s="846"/>
      <c r="J129" s="846"/>
      <c r="K129" s="846"/>
      <c r="L129" s="846">
        <v>4420</v>
      </c>
      <c r="M129" s="976">
        <v>4421</v>
      </c>
      <c r="N129" s="976">
        <v>4422</v>
      </c>
      <c r="O129" s="976">
        <v>4423</v>
      </c>
      <c r="P129" s="976"/>
      <c r="Q129" s="439" t="s">
        <v>797</v>
      </c>
      <c r="R129" s="439" t="s">
        <v>585</v>
      </c>
      <c r="S129" s="439" t="s">
        <v>798</v>
      </c>
    </row>
    <row r="130" spans="1:19" x14ac:dyDescent="0.25">
      <c r="A130" s="976"/>
      <c r="B130" s="846" t="s">
        <v>123</v>
      </c>
      <c r="C130" s="967" t="s">
        <v>77</v>
      </c>
      <c r="D130" s="978"/>
      <c r="E130" s="846"/>
      <c r="F130" s="846"/>
      <c r="G130" s="846"/>
      <c r="H130" s="846"/>
      <c r="I130" s="846"/>
      <c r="J130" s="846"/>
      <c r="K130" s="846"/>
      <c r="L130" s="846"/>
      <c r="M130" s="976"/>
      <c r="N130" s="976"/>
      <c r="O130" s="976"/>
      <c r="P130" s="976"/>
    </row>
    <row r="131" spans="1:19" x14ac:dyDescent="0.25">
      <c r="A131" s="976"/>
      <c r="B131" s="846" t="s">
        <v>243</v>
      </c>
      <c r="C131" s="967" t="s">
        <v>77</v>
      </c>
      <c r="D131" s="978"/>
      <c r="E131" s="846"/>
      <c r="F131" s="846"/>
      <c r="G131" s="846"/>
      <c r="H131" s="846"/>
      <c r="I131" s="846"/>
      <c r="J131" s="846"/>
      <c r="K131" s="846"/>
      <c r="L131" s="846"/>
      <c r="M131" s="976"/>
      <c r="N131" s="976"/>
      <c r="O131" s="976"/>
      <c r="P131" s="976"/>
    </row>
    <row r="132" spans="1:19" x14ac:dyDescent="0.25">
      <c r="A132" s="976"/>
      <c r="B132" s="846" t="s">
        <v>264</v>
      </c>
      <c r="C132" s="967" t="s">
        <v>77</v>
      </c>
      <c r="D132" s="978"/>
      <c r="E132" s="846"/>
      <c r="F132" s="846"/>
      <c r="G132" s="846"/>
      <c r="H132" s="846"/>
      <c r="I132" s="846"/>
      <c r="J132" s="846"/>
      <c r="K132" s="846"/>
      <c r="L132" s="846"/>
      <c r="M132" s="976"/>
      <c r="N132" s="976"/>
      <c r="O132" s="976"/>
      <c r="P132" s="976"/>
    </row>
    <row r="133" spans="1:19" x14ac:dyDescent="0.25">
      <c r="A133" s="976"/>
      <c r="B133" s="846" t="s">
        <v>382</v>
      </c>
      <c r="C133" s="967" t="s">
        <v>77</v>
      </c>
      <c r="D133" s="978"/>
      <c r="E133" s="846"/>
      <c r="F133" s="846"/>
      <c r="G133" s="846"/>
      <c r="H133" s="846"/>
      <c r="I133" s="846"/>
      <c r="J133" s="846"/>
      <c r="K133" s="846"/>
      <c r="L133" s="846"/>
      <c r="M133" s="976"/>
      <c r="N133" s="976"/>
      <c r="O133" s="976"/>
      <c r="P133" s="976"/>
    </row>
    <row r="134" spans="1:19" x14ac:dyDescent="0.25">
      <c r="A134" s="976"/>
      <c r="B134" s="846" t="s">
        <v>401</v>
      </c>
      <c r="C134" s="967" t="s">
        <v>77</v>
      </c>
      <c r="D134" s="978"/>
      <c r="E134" s="846"/>
      <c r="F134" s="846"/>
      <c r="G134" s="846"/>
      <c r="H134" s="846"/>
      <c r="I134" s="846"/>
      <c r="J134" s="846"/>
      <c r="K134" s="846"/>
      <c r="L134" s="846"/>
      <c r="M134" s="976"/>
      <c r="N134" s="976"/>
      <c r="O134" s="976"/>
      <c r="P134" s="976"/>
    </row>
    <row r="135" spans="1:19" x14ac:dyDescent="0.25">
      <c r="A135" s="976"/>
      <c r="B135" s="846"/>
      <c r="C135" s="967"/>
      <c r="D135" s="978"/>
      <c r="E135" s="846"/>
      <c r="F135" s="846"/>
      <c r="G135" s="846"/>
      <c r="H135" s="846"/>
      <c r="I135" s="846"/>
      <c r="J135" s="846"/>
      <c r="K135" s="846"/>
      <c r="L135" s="846"/>
      <c r="M135" s="976"/>
      <c r="N135" s="976"/>
      <c r="O135" s="976"/>
      <c r="P135" s="976"/>
    </row>
    <row r="136" spans="1:19" x14ac:dyDescent="0.25">
      <c r="A136" s="1333" t="s">
        <v>571</v>
      </c>
      <c r="B136" s="1333"/>
      <c r="C136" s="1333"/>
      <c r="D136" s="1333"/>
      <c r="E136" s="1333"/>
      <c r="F136" s="1333"/>
      <c r="G136" s="1333"/>
      <c r="H136" s="1333"/>
      <c r="I136" s="1333"/>
      <c r="J136" s="1333"/>
      <c r="K136" s="1333"/>
      <c r="L136" s="1333"/>
      <c r="M136" s="1333"/>
      <c r="N136" s="1333"/>
      <c r="O136" s="1333"/>
      <c r="P136" s="1333"/>
    </row>
    <row r="137" spans="1:19" x14ac:dyDescent="0.25">
      <c r="A137" s="976" t="s">
        <v>550</v>
      </c>
      <c r="B137" s="977" t="s">
        <v>62</v>
      </c>
      <c r="C137" s="967">
        <v>3674</v>
      </c>
      <c r="D137" s="978">
        <v>2770</v>
      </c>
      <c r="E137" s="846"/>
      <c r="F137" s="846">
        <v>3737</v>
      </c>
      <c r="G137" s="846">
        <v>3815</v>
      </c>
      <c r="H137" s="846">
        <v>3973</v>
      </c>
      <c r="I137" s="846">
        <v>3974</v>
      </c>
      <c r="J137" s="846">
        <v>4195</v>
      </c>
      <c r="K137" s="846">
        <v>4196</v>
      </c>
      <c r="L137" s="846">
        <v>4197</v>
      </c>
      <c r="M137" s="976">
        <v>4281</v>
      </c>
      <c r="N137" s="976">
        <v>4402</v>
      </c>
      <c r="O137" s="976">
        <v>4403</v>
      </c>
      <c r="P137" s="976"/>
      <c r="Q137" s="439" t="s">
        <v>726</v>
      </c>
      <c r="R137" s="439" t="s">
        <v>727</v>
      </c>
      <c r="S137" s="439" t="s">
        <v>775</v>
      </c>
    </row>
    <row r="138" spans="1:19" x14ac:dyDescent="0.25">
      <c r="A138" s="976" t="s">
        <v>550</v>
      </c>
      <c r="B138" s="846" t="s">
        <v>61</v>
      </c>
      <c r="C138" s="967">
        <v>3636</v>
      </c>
      <c r="D138" s="978"/>
      <c r="E138" s="846"/>
      <c r="F138" s="846"/>
      <c r="G138" s="846"/>
      <c r="H138" s="846"/>
      <c r="I138" s="846"/>
      <c r="J138" s="846"/>
      <c r="K138" s="846"/>
      <c r="L138" s="846"/>
      <c r="M138" s="976"/>
      <c r="N138" s="976"/>
      <c r="O138" s="976"/>
      <c r="P138" s="976"/>
    </row>
    <row r="139" spans="1:19" x14ac:dyDescent="0.25">
      <c r="A139" s="976" t="s">
        <v>550</v>
      </c>
      <c r="B139" s="846" t="s">
        <v>73</v>
      </c>
      <c r="C139" s="967">
        <v>3633</v>
      </c>
      <c r="D139" s="978">
        <v>2540</v>
      </c>
      <c r="E139" s="846"/>
      <c r="F139" s="846">
        <v>3772</v>
      </c>
      <c r="G139" s="846">
        <v>3975</v>
      </c>
      <c r="H139" s="846">
        <v>3976</v>
      </c>
      <c r="I139" s="846">
        <v>3977</v>
      </c>
      <c r="J139" s="846">
        <v>4198</v>
      </c>
      <c r="K139" s="846">
        <v>4199</v>
      </c>
      <c r="L139" s="846">
        <v>4200</v>
      </c>
      <c r="M139" s="976">
        <v>4282</v>
      </c>
      <c r="N139" s="976">
        <v>4372</v>
      </c>
      <c r="O139" s="976">
        <v>4454</v>
      </c>
      <c r="P139" s="976">
        <v>3978</v>
      </c>
      <c r="Q139" s="439" t="s">
        <v>845</v>
      </c>
      <c r="R139" s="439" t="s">
        <v>727</v>
      </c>
      <c r="S139" s="439" t="s">
        <v>846</v>
      </c>
    </row>
    <row r="140" spans="1:19" x14ac:dyDescent="0.25">
      <c r="A140" s="976" t="s">
        <v>550</v>
      </c>
      <c r="B140" s="846" t="s">
        <v>107</v>
      </c>
      <c r="C140" s="971" t="s">
        <v>77</v>
      </c>
      <c r="D140" s="985">
        <v>3048</v>
      </c>
      <c r="E140" s="846"/>
      <c r="F140" s="846">
        <v>3742</v>
      </c>
      <c r="G140" s="846">
        <v>3766</v>
      </c>
      <c r="H140" s="846">
        <v>3979</v>
      </c>
      <c r="I140" s="846">
        <v>3980</v>
      </c>
      <c r="J140" s="846">
        <v>4023</v>
      </c>
      <c r="K140" s="846">
        <v>4065</v>
      </c>
      <c r="L140" s="846">
        <v>4080</v>
      </c>
      <c r="M140" s="976">
        <v>4283</v>
      </c>
      <c r="N140" s="976">
        <v>4298</v>
      </c>
      <c r="O140" s="976">
        <v>4375</v>
      </c>
      <c r="P140" s="976"/>
      <c r="Q140" s="439" t="s">
        <v>734</v>
      </c>
      <c r="R140" s="439" t="s">
        <v>704</v>
      </c>
      <c r="S140" s="439" t="s">
        <v>735</v>
      </c>
    </row>
    <row r="141" spans="1:19" x14ac:dyDescent="0.25">
      <c r="A141" s="976" t="s">
        <v>550</v>
      </c>
      <c r="B141" s="846" t="s">
        <v>109</v>
      </c>
      <c r="C141" s="967">
        <v>3671</v>
      </c>
      <c r="D141" s="978"/>
      <c r="E141" s="846"/>
      <c r="F141" s="846"/>
      <c r="G141" s="846"/>
      <c r="H141" s="846"/>
      <c r="I141" s="846"/>
      <c r="J141" s="846"/>
      <c r="K141" s="846"/>
      <c r="L141" s="846"/>
      <c r="M141" s="976"/>
      <c r="N141" s="976"/>
      <c r="O141" s="976"/>
      <c r="P141" s="976"/>
    </row>
    <row r="142" spans="1:19" x14ac:dyDescent="0.25">
      <c r="A142" s="976"/>
      <c r="B142" s="846" t="s">
        <v>133</v>
      </c>
      <c r="C142" s="967">
        <v>3565</v>
      </c>
      <c r="D142" s="978">
        <v>2540</v>
      </c>
      <c r="E142" s="846">
        <v>3720</v>
      </c>
      <c r="F142" s="846">
        <v>3721</v>
      </c>
      <c r="G142" s="846">
        <v>3981</v>
      </c>
      <c r="H142" s="846">
        <v>3982</v>
      </c>
      <c r="I142" s="846">
        <v>3983</v>
      </c>
      <c r="J142" s="846">
        <v>4201</v>
      </c>
      <c r="K142" s="846">
        <v>4202</v>
      </c>
      <c r="L142" s="846">
        <v>4203</v>
      </c>
      <c r="M142" s="976">
        <v>4284</v>
      </c>
      <c r="N142" s="976">
        <v>4373</v>
      </c>
      <c r="O142" s="976">
        <v>4455</v>
      </c>
      <c r="P142" s="976">
        <v>3984</v>
      </c>
      <c r="Q142" s="439" t="s">
        <v>736</v>
      </c>
      <c r="R142" s="439" t="s">
        <v>704</v>
      </c>
      <c r="S142" s="439" t="s">
        <v>737</v>
      </c>
    </row>
    <row r="143" spans="1:19" x14ac:dyDescent="0.25">
      <c r="A143" s="976" t="s">
        <v>550</v>
      </c>
      <c r="B143" s="846" t="s">
        <v>205</v>
      </c>
      <c r="C143" s="967">
        <v>3298</v>
      </c>
      <c r="D143" s="978"/>
      <c r="E143" s="846"/>
      <c r="F143" s="846">
        <v>4001</v>
      </c>
      <c r="G143" s="846"/>
      <c r="H143" s="846"/>
      <c r="I143" s="846"/>
      <c r="J143" s="846"/>
      <c r="K143" s="846"/>
      <c r="L143" s="846"/>
      <c r="M143" s="976"/>
      <c r="N143" s="976"/>
      <c r="O143" s="976"/>
      <c r="P143" s="976"/>
    </row>
    <row r="144" spans="1:19" x14ac:dyDescent="0.25">
      <c r="A144" s="976" t="s">
        <v>550</v>
      </c>
      <c r="B144" s="846" t="s">
        <v>213</v>
      </c>
      <c r="C144" s="967" t="s">
        <v>77</v>
      </c>
      <c r="D144" s="978">
        <v>2705</v>
      </c>
      <c r="E144" s="846"/>
      <c r="F144" s="846">
        <v>3733</v>
      </c>
      <c r="G144" s="846">
        <v>3788</v>
      </c>
      <c r="H144" s="846">
        <v>3831</v>
      </c>
      <c r="I144" s="846">
        <v>3985</v>
      </c>
      <c r="J144" s="846">
        <v>4204</v>
      </c>
      <c r="K144" s="846">
        <v>4205</v>
      </c>
      <c r="L144" s="846">
        <v>4206</v>
      </c>
      <c r="M144" s="976">
        <v>4285</v>
      </c>
      <c r="N144" s="976">
        <v>4374</v>
      </c>
      <c r="O144" s="976">
        <v>4391</v>
      </c>
      <c r="P144" s="976"/>
      <c r="Q144" s="439" t="s">
        <v>738</v>
      </c>
      <c r="R144" s="439" t="s">
        <v>739</v>
      </c>
      <c r="S144" s="439" t="s">
        <v>740</v>
      </c>
    </row>
    <row r="145" spans="1:19" x14ac:dyDescent="0.25">
      <c r="A145" s="976" t="s">
        <v>550</v>
      </c>
      <c r="B145" s="846" t="s">
        <v>217</v>
      </c>
      <c r="C145" s="967">
        <v>3289</v>
      </c>
      <c r="D145" s="978"/>
      <c r="E145" s="846"/>
      <c r="F145" s="846"/>
      <c r="G145" s="846"/>
      <c r="H145" s="846"/>
      <c r="I145" s="846"/>
      <c r="J145" s="846"/>
      <c r="K145" s="846"/>
      <c r="L145" s="846"/>
      <c r="M145" s="976"/>
      <c r="N145" s="976"/>
      <c r="O145" s="976"/>
      <c r="P145" s="976"/>
    </row>
    <row r="146" spans="1:19" x14ac:dyDescent="0.25">
      <c r="A146" s="976"/>
      <c r="B146" s="846" t="s">
        <v>250</v>
      </c>
      <c r="C146" s="967">
        <v>3648</v>
      </c>
      <c r="D146" s="978"/>
      <c r="E146" s="846"/>
      <c r="F146" s="846"/>
      <c r="G146" s="846"/>
      <c r="H146" s="846"/>
      <c r="I146" s="846"/>
      <c r="J146" s="846"/>
      <c r="K146" s="846"/>
      <c r="L146" s="846"/>
      <c r="M146" s="976"/>
      <c r="N146" s="976"/>
      <c r="O146" s="976"/>
      <c r="P146" s="976"/>
    </row>
    <row r="147" spans="1:19" x14ac:dyDescent="0.25">
      <c r="A147" s="976"/>
      <c r="B147" s="846" t="s">
        <v>292</v>
      </c>
      <c r="C147" s="967">
        <v>3664</v>
      </c>
      <c r="D147" s="978">
        <v>3246</v>
      </c>
      <c r="E147" s="846"/>
      <c r="F147" s="846">
        <v>3749</v>
      </c>
      <c r="G147" s="846">
        <v>3986</v>
      </c>
      <c r="H147" s="846">
        <v>3987</v>
      </c>
      <c r="I147" s="846">
        <v>3988</v>
      </c>
      <c r="J147" s="846">
        <v>4207</v>
      </c>
      <c r="K147" s="846">
        <v>4208</v>
      </c>
      <c r="L147" s="846">
        <v>4209</v>
      </c>
      <c r="M147" s="976">
        <v>4286</v>
      </c>
      <c r="N147" s="976">
        <v>4393</v>
      </c>
      <c r="O147" s="976">
        <v>4394</v>
      </c>
      <c r="P147" s="976"/>
      <c r="Q147" s="439" t="s">
        <v>766</v>
      </c>
      <c r="R147" s="439" t="s">
        <v>704</v>
      </c>
      <c r="S147" s="439" t="s">
        <v>767</v>
      </c>
    </row>
    <row r="148" spans="1:19" x14ac:dyDescent="0.25">
      <c r="A148" s="976"/>
      <c r="B148" s="846" t="s">
        <v>294</v>
      </c>
      <c r="C148" s="967"/>
      <c r="D148" s="978"/>
      <c r="E148" s="846"/>
      <c r="F148" s="846"/>
      <c r="G148" s="846"/>
      <c r="H148" s="846"/>
      <c r="I148" s="846"/>
      <c r="J148" s="846"/>
      <c r="K148" s="846"/>
      <c r="L148" s="846"/>
      <c r="M148" s="976"/>
      <c r="N148" s="976"/>
      <c r="O148" s="976"/>
      <c r="P148" s="976"/>
    </row>
    <row r="149" spans="1:19" x14ac:dyDescent="0.25">
      <c r="A149" s="976" t="s">
        <v>550</v>
      </c>
      <c r="B149" s="846" t="s">
        <v>343</v>
      </c>
      <c r="C149" s="967"/>
      <c r="D149" s="978"/>
      <c r="E149" s="846"/>
      <c r="F149" s="846"/>
      <c r="G149" s="846"/>
      <c r="H149" s="846"/>
      <c r="I149" s="846"/>
      <c r="J149" s="846"/>
      <c r="K149" s="846"/>
      <c r="L149" s="846"/>
      <c r="M149" s="976"/>
      <c r="N149" s="976"/>
      <c r="O149" s="976"/>
      <c r="P149" s="976"/>
    </row>
    <row r="150" spans="1:19" x14ac:dyDescent="0.25">
      <c r="A150" s="976"/>
      <c r="B150" s="846" t="s">
        <v>360</v>
      </c>
      <c r="C150" s="967"/>
      <c r="D150" s="978"/>
      <c r="E150" s="846"/>
      <c r="F150" s="846"/>
      <c r="G150" s="846"/>
      <c r="H150" s="846"/>
      <c r="I150" s="846"/>
      <c r="J150" s="846"/>
      <c r="K150" s="846"/>
      <c r="L150" s="846"/>
      <c r="M150" s="439">
        <v>3842</v>
      </c>
      <c r="N150" s="439">
        <v>4387</v>
      </c>
      <c r="O150" s="979">
        <v>4387</v>
      </c>
      <c r="P150" s="976"/>
      <c r="Q150" s="439" t="s">
        <v>763</v>
      </c>
      <c r="R150" s="439" t="s">
        <v>765</v>
      </c>
      <c r="S150" s="439" t="s">
        <v>764</v>
      </c>
    </row>
    <row r="151" spans="1:19" x14ac:dyDescent="0.25">
      <c r="A151" s="976" t="s">
        <v>550</v>
      </c>
      <c r="B151" s="846" t="s">
        <v>341</v>
      </c>
      <c r="C151" s="967">
        <v>3701</v>
      </c>
      <c r="D151" s="978"/>
      <c r="E151" s="846"/>
      <c r="F151" s="846"/>
      <c r="G151" s="846"/>
      <c r="H151" s="846"/>
      <c r="I151" s="846"/>
      <c r="J151" s="846"/>
      <c r="K151" s="846"/>
      <c r="L151" s="846"/>
      <c r="M151" s="976"/>
      <c r="N151" s="976"/>
      <c r="O151" s="976"/>
      <c r="P151" s="976"/>
    </row>
    <row r="152" spans="1:19" x14ac:dyDescent="0.25">
      <c r="A152" s="976" t="s">
        <v>550</v>
      </c>
      <c r="B152" s="846" t="s">
        <v>572</v>
      </c>
      <c r="C152" s="967">
        <v>3632</v>
      </c>
      <c r="D152" s="978">
        <v>2969</v>
      </c>
      <c r="E152" s="846"/>
      <c r="F152" s="846">
        <v>4002</v>
      </c>
      <c r="G152" s="846">
        <v>4003</v>
      </c>
      <c r="H152" s="846">
        <v>4004</v>
      </c>
      <c r="I152" s="846"/>
      <c r="J152" s="846"/>
      <c r="K152" s="846"/>
      <c r="L152" s="846"/>
      <c r="M152" s="976"/>
      <c r="N152" s="976"/>
      <c r="O152" s="976"/>
      <c r="P152" s="976"/>
    </row>
    <row r="153" spans="1:19" x14ac:dyDescent="0.25">
      <c r="A153" s="976"/>
      <c r="B153" s="846" t="s">
        <v>573</v>
      </c>
      <c r="C153" s="967">
        <v>3660</v>
      </c>
      <c r="D153" s="978"/>
      <c r="E153" s="846"/>
      <c r="F153" s="846"/>
      <c r="G153" s="846"/>
      <c r="H153" s="846"/>
      <c r="I153" s="846"/>
      <c r="J153" s="846"/>
      <c r="K153" s="846"/>
      <c r="L153" s="846"/>
      <c r="M153" s="976"/>
      <c r="N153" s="976"/>
      <c r="O153" s="976"/>
      <c r="P153" s="976"/>
    </row>
    <row r="154" spans="1:19" x14ac:dyDescent="0.25">
      <c r="A154" s="976" t="s">
        <v>550</v>
      </c>
      <c r="B154" s="977" t="s">
        <v>574</v>
      </c>
      <c r="C154" s="967" t="s">
        <v>77</v>
      </c>
      <c r="D154" s="978">
        <v>2771</v>
      </c>
      <c r="E154" s="846"/>
      <c r="F154" s="846" t="s">
        <v>575</v>
      </c>
      <c r="G154" s="846">
        <v>3785</v>
      </c>
      <c r="H154" s="846">
        <v>3858</v>
      </c>
      <c r="I154" s="846">
        <v>3989</v>
      </c>
      <c r="J154" s="846">
        <v>4032</v>
      </c>
      <c r="K154" s="846">
        <v>4210</v>
      </c>
      <c r="L154" s="846">
        <v>4211</v>
      </c>
      <c r="M154" s="976">
        <v>4287</v>
      </c>
      <c r="N154" s="976">
        <v>4356</v>
      </c>
      <c r="O154" s="976">
        <v>4425</v>
      </c>
      <c r="P154" s="976"/>
      <c r="Q154" s="439" t="s">
        <v>588</v>
      </c>
      <c r="R154" s="439" t="s">
        <v>585</v>
      </c>
      <c r="S154" s="439" t="s">
        <v>721</v>
      </c>
    </row>
    <row r="155" spans="1:19" x14ac:dyDescent="0.25">
      <c r="A155" s="976"/>
      <c r="B155" s="846" t="s">
        <v>576</v>
      </c>
      <c r="C155" s="967"/>
      <c r="D155" s="978">
        <v>2770</v>
      </c>
      <c r="E155" s="846"/>
      <c r="F155" s="846">
        <v>3895</v>
      </c>
      <c r="G155" s="846">
        <v>3895</v>
      </c>
      <c r="H155" s="846">
        <v>3895</v>
      </c>
      <c r="I155" s="846"/>
      <c r="J155" s="846"/>
      <c r="K155" s="846"/>
      <c r="L155" s="846"/>
      <c r="M155" s="976"/>
      <c r="N155" s="976"/>
      <c r="O155" s="976"/>
      <c r="P155" s="976"/>
    </row>
    <row r="156" spans="1:19" x14ac:dyDescent="0.25">
      <c r="A156" s="974" t="s">
        <v>577</v>
      </c>
      <c r="B156" s="974"/>
      <c r="C156" s="974"/>
      <c r="D156" s="974"/>
      <c r="E156" s="974"/>
      <c r="F156" s="974"/>
      <c r="G156" s="974"/>
      <c r="H156" s="974"/>
      <c r="I156" s="974"/>
      <c r="J156" s="974"/>
      <c r="K156" s="974"/>
      <c r="L156" s="974"/>
      <c r="M156" s="974"/>
      <c r="N156" s="974"/>
      <c r="O156" s="975"/>
      <c r="P156" s="975"/>
    </row>
    <row r="157" spans="1:19" x14ac:dyDescent="0.25">
      <c r="A157" s="976" t="s">
        <v>553</v>
      </c>
      <c r="B157" s="846" t="s">
        <v>186</v>
      </c>
      <c r="C157" s="967">
        <v>3588</v>
      </c>
      <c r="D157" s="989">
        <v>2640</v>
      </c>
      <c r="E157" s="846"/>
      <c r="F157" s="846">
        <v>3708</v>
      </c>
      <c r="G157" s="846">
        <v>3832</v>
      </c>
      <c r="H157" s="846">
        <v>3833</v>
      </c>
      <c r="I157" s="846">
        <v>3990</v>
      </c>
      <c r="J157" s="846">
        <v>4212</v>
      </c>
      <c r="K157" s="846">
        <v>4213</v>
      </c>
      <c r="L157" s="846">
        <v>4214</v>
      </c>
      <c r="M157" s="976">
        <v>4288</v>
      </c>
      <c r="N157" s="976">
        <v>4395</v>
      </c>
      <c r="O157" s="976">
        <v>4396</v>
      </c>
      <c r="P157" s="976"/>
      <c r="Q157" s="439" t="s">
        <v>754</v>
      </c>
      <c r="R157" s="439" t="s">
        <v>585</v>
      </c>
      <c r="S157" s="439" t="s">
        <v>770</v>
      </c>
    </row>
    <row r="158" spans="1:19" x14ac:dyDescent="0.25">
      <c r="A158" s="976"/>
      <c r="B158" s="846" t="s">
        <v>232</v>
      </c>
      <c r="C158" s="967">
        <v>3672</v>
      </c>
      <c r="D158" s="989">
        <v>3246</v>
      </c>
      <c r="E158" s="846"/>
      <c r="F158" s="846">
        <v>3991</v>
      </c>
      <c r="G158" s="846">
        <v>3992</v>
      </c>
      <c r="H158" s="846">
        <v>3993</v>
      </c>
      <c r="I158" s="846">
        <v>4010</v>
      </c>
      <c r="J158" s="846">
        <v>4215</v>
      </c>
      <c r="K158" s="846">
        <v>4216</v>
      </c>
      <c r="L158" s="846">
        <v>4217</v>
      </c>
      <c r="M158" s="976">
        <v>4289</v>
      </c>
      <c r="N158" s="979">
        <v>4299</v>
      </c>
      <c r="O158" s="976" t="s">
        <v>682</v>
      </c>
      <c r="P158" s="976"/>
    </row>
    <row r="159" spans="1:19" x14ac:dyDescent="0.25">
      <c r="A159" s="976" t="s">
        <v>553</v>
      </c>
      <c r="B159" s="846" t="s">
        <v>268</v>
      </c>
      <c r="C159" s="967" t="s">
        <v>77</v>
      </c>
      <c r="D159" s="989">
        <v>2540</v>
      </c>
      <c r="E159" s="846"/>
      <c r="F159" s="846">
        <v>3744</v>
      </c>
      <c r="G159" s="846">
        <v>3794</v>
      </c>
      <c r="H159" s="846">
        <v>3994</v>
      </c>
      <c r="I159" s="846">
        <v>3995</v>
      </c>
      <c r="J159" s="846">
        <v>4218</v>
      </c>
      <c r="K159" s="846">
        <v>4219</v>
      </c>
      <c r="L159" s="846">
        <v>4220</v>
      </c>
      <c r="M159" s="976">
        <v>4290</v>
      </c>
      <c r="N159" s="976" t="s">
        <v>682</v>
      </c>
      <c r="O159" s="976" t="s">
        <v>682</v>
      </c>
      <c r="P159" s="976"/>
    </row>
    <row r="160" spans="1:19" x14ac:dyDescent="0.25">
      <c r="A160" s="976"/>
      <c r="B160" s="846" t="s">
        <v>321</v>
      </c>
      <c r="C160" s="967">
        <v>3616</v>
      </c>
      <c r="D160" s="989">
        <v>2770</v>
      </c>
      <c r="E160" s="846"/>
      <c r="F160" s="846">
        <v>3740</v>
      </c>
      <c r="G160" s="846">
        <v>3996</v>
      </c>
      <c r="H160" s="846">
        <v>3997</v>
      </c>
      <c r="I160" s="846">
        <v>4221</v>
      </c>
      <c r="J160" s="846">
        <v>4222</v>
      </c>
      <c r="K160" s="846">
        <v>4223</v>
      </c>
      <c r="L160" s="846">
        <v>4224</v>
      </c>
      <c r="M160" s="976">
        <v>4346</v>
      </c>
      <c r="N160" s="976">
        <v>4347</v>
      </c>
      <c r="O160" s="976">
        <v>4432</v>
      </c>
      <c r="P160" s="976"/>
      <c r="Q160" s="439" t="s">
        <v>610</v>
      </c>
      <c r="R160" s="439" t="s">
        <v>585</v>
      </c>
      <c r="S160" s="439" t="s">
        <v>699</v>
      </c>
    </row>
    <row r="161" spans="1:19" x14ac:dyDescent="0.25">
      <c r="A161" s="976"/>
      <c r="B161" s="846" t="s">
        <v>324</v>
      </c>
      <c r="C161" s="967">
        <v>3049</v>
      </c>
      <c r="D161" s="989">
        <v>1820</v>
      </c>
      <c r="E161" s="846"/>
      <c r="F161" s="846">
        <v>3966</v>
      </c>
      <c r="G161" s="846">
        <v>3967</v>
      </c>
      <c r="H161" s="846">
        <v>3968</v>
      </c>
      <c r="I161" s="846">
        <v>3969</v>
      </c>
      <c r="J161" s="846">
        <v>4225</v>
      </c>
      <c r="K161" s="846">
        <v>4226</v>
      </c>
      <c r="L161" s="846">
        <v>4227</v>
      </c>
      <c r="M161" s="976">
        <v>4291</v>
      </c>
      <c r="N161" s="976">
        <v>4352</v>
      </c>
      <c r="O161" s="976">
        <v>4452</v>
      </c>
      <c r="P161" s="976"/>
      <c r="Q161" s="439" t="s">
        <v>710</v>
      </c>
      <c r="R161" s="439" t="s">
        <v>704</v>
      </c>
      <c r="S161" s="439" t="s">
        <v>712</v>
      </c>
    </row>
    <row r="162" spans="1:19" x14ac:dyDescent="0.25">
      <c r="A162" s="976"/>
      <c r="B162" s="846" t="s">
        <v>385</v>
      </c>
      <c r="C162" s="967">
        <v>3194</v>
      </c>
      <c r="D162" s="989"/>
      <c r="E162" s="846"/>
      <c r="F162" s="846"/>
      <c r="G162" s="846"/>
      <c r="H162" s="846"/>
      <c r="I162" s="846"/>
      <c r="J162" s="846"/>
      <c r="K162" s="846"/>
      <c r="L162" s="846"/>
      <c r="M162" s="976"/>
      <c r="N162" s="976"/>
      <c r="O162" s="976"/>
      <c r="P162" s="976"/>
    </row>
    <row r="163" spans="1:19" x14ac:dyDescent="0.25">
      <c r="A163" s="976"/>
      <c r="B163" s="846" t="s">
        <v>360</v>
      </c>
      <c r="C163" s="967"/>
      <c r="D163" s="989">
        <v>2399</v>
      </c>
      <c r="E163" s="846"/>
      <c r="F163" s="846"/>
      <c r="G163" s="846"/>
      <c r="H163" s="846"/>
      <c r="I163" s="846"/>
      <c r="J163" s="846">
        <v>3842</v>
      </c>
      <c r="K163" s="846">
        <v>3842</v>
      </c>
      <c r="L163" s="846">
        <v>3842</v>
      </c>
      <c r="M163" s="976">
        <v>3842</v>
      </c>
      <c r="N163" s="986"/>
      <c r="O163" s="976"/>
      <c r="P163" s="976"/>
    </row>
    <row r="164" spans="1:19" x14ac:dyDescent="0.25">
      <c r="A164" s="976"/>
      <c r="B164" s="846"/>
      <c r="C164" s="967"/>
      <c r="D164" s="989"/>
      <c r="E164" s="846"/>
      <c r="F164" s="846"/>
      <c r="G164" s="846"/>
      <c r="H164" s="846"/>
      <c r="I164" s="846"/>
      <c r="J164" s="846"/>
      <c r="K164" s="846"/>
      <c r="L164" s="846"/>
      <c r="M164" s="976"/>
      <c r="N164" s="976"/>
      <c r="O164" s="976"/>
      <c r="P164" s="976"/>
    </row>
    <row r="165" spans="1:19" x14ac:dyDescent="0.25">
      <c r="A165" s="976"/>
      <c r="B165" s="846"/>
      <c r="C165" s="967"/>
      <c r="D165" s="989"/>
      <c r="E165" s="846"/>
      <c r="F165" s="846"/>
      <c r="G165" s="846"/>
      <c r="H165" s="846"/>
      <c r="I165" s="846"/>
      <c r="J165" s="846"/>
      <c r="K165" s="846"/>
      <c r="L165" s="846"/>
      <c r="M165" s="976"/>
      <c r="N165" s="976"/>
      <c r="O165" s="976"/>
      <c r="P165" s="976"/>
    </row>
    <row r="166" spans="1:19" x14ac:dyDescent="0.25">
      <c r="A166" s="974" t="s">
        <v>578</v>
      </c>
      <c r="B166" s="974"/>
      <c r="C166" s="974"/>
      <c r="D166" s="974"/>
      <c r="E166" s="974"/>
      <c r="F166" s="974"/>
      <c r="G166" s="974"/>
      <c r="H166" s="974"/>
      <c r="I166" s="974"/>
      <c r="J166" s="974"/>
      <c r="K166" s="974"/>
      <c r="L166" s="974"/>
      <c r="M166" s="974"/>
      <c r="N166" s="974"/>
      <c r="O166" s="975"/>
      <c r="P166" s="975"/>
    </row>
    <row r="167" spans="1:19" x14ac:dyDescent="0.25">
      <c r="A167" s="976"/>
      <c r="B167" s="846" t="s">
        <v>60</v>
      </c>
      <c r="C167" s="967">
        <v>3668</v>
      </c>
      <c r="D167" s="989">
        <v>3245</v>
      </c>
      <c r="E167" s="846"/>
      <c r="F167" s="846">
        <v>3739</v>
      </c>
      <c r="G167" s="846">
        <v>3799</v>
      </c>
      <c r="H167" s="846">
        <v>3864</v>
      </c>
      <c r="I167" s="846">
        <v>3903</v>
      </c>
      <c r="J167" s="846">
        <v>4292</v>
      </c>
      <c r="K167" s="846">
        <v>4293</v>
      </c>
      <c r="L167" s="846">
        <v>4294</v>
      </c>
      <c r="M167" s="976">
        <v>4295</v>
      </c>
      <c r="N167" s="976">
        <v>4338</v>
      </c>
      <c r="O167" s="976">
        <v>4413</v>
      </c>
      <c r="P167" s="976"/>
      <c r="Q167" s="439" t="s">
        <v>685</v>
      </c>
      <c r="R167" s="439" t="s">
        <v>585</v>
      </c>
      <c r="S167" s="439" t="s">
        <v>692</v>
      </c>
    </row>
    <row r="168" spans="1:19" x14ac:dyDescent="0.25">
      <c r="A168" s="976"/>
      <c r="B168" s="846" t="s">
        <v>203</v>
      </c>
      <c r="C168" s="967">
        <v>3297</v>
      </c>
      <c r="D168" s="989"/>
      <c r="E168" s="846"/>
      <c r="F168" s="846">
        <v>4000</v>
      </c>
      <c r="G168" s="846"/>
      <c r="H168" s="846"/>
      <c r="I168" s="846"/>
      <c r="J168" s="846"/>
      <c r="K168" s="846"/>
      <c r="L168" s="846"/>
      <c r="M168" s="976"/>
      <c r="N168" s="976"/>
      <c r="O168" s="976"/>
      <c r="P168" s="976"/>
    </row>
    <row r="169" spans="1:19" x14ac:dyDescent="0.25">
      <c r="A169" s="976"/>
      <c r="B169" s="846" t="s">
        <v>204</v>
      </c>
      <c r="C169" s="967">
        <v>3465</v>
      </c>
      <c r="D169" s="989"/>
      <c r="E169" s="846"/>
      <c r="F169" s="846"/>
      <c r="G169" s="846"/>
      <c r="H169" s="846"/>
      <c r="I169" s="846"/>
      <c r="J169" s="846"/>
      <c r="K169" s="846"/>
      <c r="L169" s="846"/>
      <c r="M169" s="976" t="s">
        <v>558</v>
      </c>
      <c r="N169" s="976"/>
      <c r="O169" s="976"/>
      <c r="P169" s="976"/>
    </row>
    <row r="170" spans="1:19" x14ac:dyDescent="0.25">
      <c r="A170" s="976" t="s">
        <v>579</v>
      </c>
      <c r="B170" s="846" t="s">
        <v>290</v>
      </c>
      <c r="C170" s="967"/>
      <c r="D170" s="989"/>
      <c r="E170" s="846"/>
      <c r="F170" s="846"/>
      <c r="G170" s="846"/>
      <c r="H170" s="846"/>
      <c r="I170" s="846"/>
      <c r="J170" s="846"/>
      <c r="K170" s="846"/>
      <c r="L170" s="846"/>
      <c r="M170" s="976"/>
      <c r="N170" s="976" t="s">
        <v>558</v>
      </c>
      <c r="O170" s="976"/>
      <c r="P170" s="976"/>
    </row>
    <row r="171" spans="1:19" x14ac:dyDescent="0.25">
      <c r="A171" s="976"/>
      <c r="B171" s="846"/>
      <c r="C171" s="967"/>
      <c r="D171" s="989"/>
      <c r="E171" s="846"/>
      <c r="F171" s="846"/>
      <c r="G171" s="846"/>
      <c r="H171" s="846"/>
      <c r="I171" s="846"/>
      <c r="J171" s="846"/>
      <c r="K171" s="846"/>
      <c r="L171" s="846"/>
      <c r="M171" s="976"/>
      <c r="N171" s="976"/>
      <c r="O171" s="976"/>
      <c r="P171" s="976"/>
    </row>
    <row r="172" spans="1:19" x14ac:dyDescent="0.25">
      <c r="A172" s="1332"/>
      <c r="B172" s="1332"/>
      <c r="C172" s="1332"/>
      <c r="D172" s="1332"/>
      <c r="E172" s="1332"/>
      <c r="F172" s="1332"/>
      <c r="G172" s="1332"/>
      <c r="H172" s="1332"/>
      <c r="I172" s="1332"/>
      <c r="J172" s="1332"/>
      <c r="K172" s="1332"/>
      <c r="L172" s="1332"/>
      <c r="M172" s="1332"/>
      <c r="N172" s="1332"/>
      <c r="O172" s="1332"/>
      <c r="P172" s="1332"/>
    </row>
    <row r="173" spans="1:19" x14ac:dyDescent="0.25">
      <c r="A173" s="976"/>
      <c r="B173" s="846"/>
      <c r="C173" s="967"/>
      <c r="D173" s="989"/>
      <c r="E173" s="846"/>
      <c r="F173" s="846"/>
      <c r="G173" s="846"/>
      <c r="H173" s="846"/>
      <c r="I173" s="846"/>
      <c r="J173" s="846"/>
      <c r="K173" s="846"/>
      <c r="L173" s="846"/>
      <c r="M173" s="976"/>
      <c r="N173" s="976"/>
      <c r="O173" s="976"/>
      <c r="P173" s="976"/>
    </row>
    <row r="174" spans="1:19" x14ac:dyDescent="0.25">
      <c r="A174" s="976"/>
      <c r="B174" s="846"/>
      <c r="C174" s="967"/>
      <c r="D174" s="989"/>
      <c r="E174" s="846"/>
      <c r="F174" s="846"/>
      <c r="G174" s="846"/>
      <c r="H174" s="846"/>
      <c r="I174" s="846"/>
      <c r="J174" s="846"/>
      <c r="K174" s="846"/>
      <c r="L174" s="846"/>
      <c r="M174" s="976"/>
      <c r="N174" s="976"/>
      <c r="O174" s="976"/>
      <c r="P174" s="976"/>
    </row>
    <row r="175" spans="1:19" x14ac:dyDescent="0.25">
      <c r="A175" s="976"/>
      <c r="B175" s="846"/>
      <c r="C175" s="967"/>
      <c r="D175" s="989"/>
      <c r="E175" s="846"/>
      <c r="F175" s="846"/>
      <c r="G175" s="846"/>
      <c r="H175" s="846"/>
      <c r="I175" s="846"/>
      <c r="J175" s="846"/>
      <c r="K175" s="846"/>
      <c r="L175" s="846"/>
      <c r="M175" s="976"/>
      <c r="N175" s="976"/>
      <c r="O175" s="976"/>
      <c r="P175" s="976"/>
    </row>
    <row r="176" spans="1:19" x14ac:dyDescent="0.25">
      <c r="A176" s="976"/>
      <c r="B176" s="846"/>
      <c r="C176" s="967"/>
      <c r="D176" s="989"/>
      <c r="E176" s="846"/>
      <c r="F176" s="846"/>
      <c r="G176" s="846"/>
      <c r="H176" s="846"/>
      <c r="I176" s="846"/>
      <c r="J176" s="846"/>
      <c r="K176" s="846"/>
      <c r="L176" s="846"/>
      <c r="M176" s="976"/>
      <c r="N176" s="976"/>
      <c r="O176" s="976"/>
      <c r="P176" s="976"/>
    </row>
    <row r="177" spans="1:16" x14ac:dyDescent="0.25">
      <c r="A177" s="976"/>
      <c r="B177" s="846"/>
      <c r="C177" s="967"/>
      <c r="D177" s="989"/>
      <c r="E177" s="846"/>
      <c r="F177" s="846"/>
      <c r="G177" s="846"/>
      <c r="H177" s="846"/>
      <c r="I177" s="846"/>
      <c r="J177" s="846"/>
      <c r="K177" s="846"/>
      <c r="L177" s="846"/>
      <c r="M177" s="976"/>
      <c r="N177" s="976"/>
      <c r="O177" s="976"/>
      <c r="P177" s="976"/>
    </row>
    <row r="178" spans="1:16" x14ac:dyDescent="0.25">
      <c r="A178" s="976"/>
      <c r="B178" s="846"/>
      <c r="C178" s="967"/>
      <c r="D178" s="989"/>
      <c r="E178" s="846"/>
      <c r="F178" s="846"/>
      <c r="G178" s="846"/>
      <c r="H178" s="846"/>
      <c r="I178" s="846"/>
      <c r="J178" s="846"/>
      <c r="K178" s="846"/>
      <c r="L178" s="846"/>
      <c r="M178" s="976"/>
      <c r="N178" s="976"/>
      <c r="O178" s="976"/>
      <c r="P178" s="976"/>
    </row>
  </sheetData>
  <mergeCells count="3">
    <mergeCell ref="A172:P172"/>
    <mergeCell ref="A136:P136"/>
    <mergeCell ref="M109:N109"/>
  </mergeCells>
  <conditionalFormatting sqref="D173 F173:P178 D174:E178">
    <cfRule type="notContainsBlanks" dxfId="0" priority="1">
      <formula>LEN(TRIM(D173))&gt;0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DA9F-F5CF-4572-B64B-1AC03A92ECED}">
  <sheetPr codeName="Hoja2">
    <pageSetUpPr fitToPage="1"/>
  </sheetPr>
  <dimension ref="B1:H59"/>
  <sheetViews>
    <sheetView tabSelected="1" zoomScale="99" zoomScaleNormal="99" workbookViewId="0">
      <selection activeCell="M8" sqref="M8"/>
    </sheetView>
  </sheetViews>
  <sheetFormatPr baseColWidth="10" defaultRowHeight="14.4" x14ac:dyDescent="0.3"/>
  <cols>
    <col min="2" max="2" width="39.109375" style="69" customWidth="1"/>
    <col min="3" max="6" width="10.44140625" style="13" customWidth="1"/>
    <col min="7" max="7" width="10.44140625" style="1079" customWidth="1"/>
    <col min="8" max="8" width="14.5546875" style="13" customWidth="1"/>
    <col min="9" max="9" width="13.33203125" customWidth="1"/>
    <col min="10" max="10" width="15.33203125" customWidth="1"/>
  </cols>
  <sheetData>
    <row r="1" spans="2:8" ht="15" thickBot="1" x14ac:dyDescent="0.35"/>
    <row r="2" spans="2:8" ht="19.2" customHeight="1" thickBot="1" x14ac:dyDescent="0.35">
      <c r="B2" s="1480" t="s">
        <v>681</v>
      </c>
      <c r="C2" s="1481"/>
      <c r="D2" s="1481"/>
      <c r="E2" s="1481"/>
      <c r="F2" s="1481"/>
      <c r="G2" s="1481"/>
      <c r="H2" s="1482"/>
    </row>
    <row r="3" spans="2:8" x14ac:dyDescent="0.3">
      <c r="B3" s="1107"/>
      <c r="C3" s="438" t="s">
        <v>31</v>
      </c>
      <c r="D3" s="1080" t="s">
        <v>664</v>
      </c>
      <c r="E3" s="1080" t="s">
        <v>669</v>
      </c>
      <c r="F3" s="1080" t="s">
        <v>34</v>
      </c>
      <c r="G3" s="1080" t="s">
        <v>35</v>
      </c>
      <c r="H3" s="1080" t="s">
        <v>716</v>
      </c>
    </row>
    <row r="4" spans="2:8" x14ac:dyDescent="0.3">
      <c r="B4" s="413" t="s">
        <v>668</v>
      </c>
      <c r="C4" s="1081"/>
      <c r="D4" s="1081"/>
      <c r="E4" s="1081"/>
      <c r="F4" s="1081"/>
      <c r="G4" s="1081"/>
      <c r="H4" s="1081"/>
    </row>
    <row r="5" spans="2:8" s="69" customFormat="1" x14ac:dyDescent="0.3">
      <c r="B5" s="284" t="s">
        <v>82</v>
      </c>
      <c r="C5" s="1082"/>
      <c r="D5" s="1082"/>
      <c r="E5" s="410">
        <v>2052</v>
      </c>
      <c r="F5" s="410"/>
      <c r="G5" s="410">
        <v>2052</v>
      </c>
      <c r="H5" s="1111"/>
    </row>
    <row r="6" spans="2:8" x14ac:dyDescent="0.3">
      <c r="B6" s="284" t="s">
        <v>459</v>
      </c>
      <c r="C6" s="410"/>
      <c r="D6" s="410"/>
      <c r="E6" s="410"/>
      <c r="F6" s="410">
        <v>2790</v>
      </c>
      <c r="G6" s="410">
        <v>2790</v>
      </c>
      <c r="H6" s="1081"/>
    </row>
    <row r="7" spans="2:8" x14ac:dyDescent="0.3">
      <c r="B7" s="284"/>
      <c r="C7" s="410"/>
      <c r="D7" s="410"/>
      <c r="E7" s="410"/>
      <c r="F7" s="410"/>
      <c r="G7" s="410"/>
      <c r="H7" s="1081"/>
    </row>
    <row r="8" spans="2:8" x14ac:dyDescent="0.3">
      <c r="B8" s="413" t="s">
        <v>670</v>
      </c>
      <c r="C8" s="410"/>
      <c r="D8" s="410"/>
      <c r="E8" s="410"/>
      <c r="F8" s="410"/>
      <c r="G8" s="410"/>
      <c r="H8" s="1081"/>
    </row>
    <row r="9" spans="2:8" x14ac:dyDescent="0.3">
      <c r="B9" s="1108" t="s">
        <v>80</v>
      </c>
      <c r="C9" s="410"/>
      <c r="D9" s="410"/>
      <c r="E9" s="410"/>
      <c r="F9" s="410"/>
      <c r="G9" s="410">
        <v>2399</v>
      </c>
      <c r="H9" s="1081"/>
    </row>
    <row r="10" spans="2:8" x14ac:dyDescent="0.3">
      <c r="B10" s="284" t="s">
        <v>398</v>
      </c>
      <c r="C10" s="410"/>
      <c r="D10" s="410"/>
      <c r="E10" s="410"/>
      <c r="F10" s="410"/>
      <c r="G10" s="410">
        <v>2686</v>
      </c>
      <c r="H10" s="389"/>
    </row>
    <row r="11" spans="2:8" x14ac:dyDescent="0.3">
      <c r="B11" s="284"/>
      <c r="C11" s="410"/>
      <c r="D11" s="410"/>
      <c r="E11" s="410"/>
      <c r="F11" s="410"/>
      <c r="G11" s="410"/>
      <c r="H11" s="1081"/>
    </row>
    <row r="12" spans="2:8" x14ac:dyDescent="0.3">
      <c r="B12" s="413" t="s">
        <v>671</v>
      </c>
      <c r="C12" s="410"/>
      <c r="D12" s="410"/>
      <c r="E12" s="410"/>
      <c r="F12" s="410"/>
      <c r="G12" s="410"/>
      <c r="H12" s="1081"/>
    </row>
    <row r="13" spans="2:8" x14ac:dyDescent="0.3">
      <c r="B13" s="284" t="s">
        <v>53</v>
      </c>
      <c r="C13" s="410"/>
      <c r="D13" s="410"/>
      <c r="E13" s="410">
        <v>800</v>
      </c>
      <c r="F13" s="410">
        <v>2600</v>
      </c>
      <c r="G13" s="410">
        <v>2600</v>
      </c>
      <c r="H13" s="1081"/>
    </row>
    <row r="14" spans="2:8" x14ac:dyDescent="0.3">
      <c r="B14" s="284" t="s">
        <v>84</v>
      </c>
      <c r="C14" s="410"/>
      <c r="D14" s="410"/>
      <c r="E14" s="410">
        <v>2302</v>
      </c>
      <c r="F14" s="410"/>
      <c r="G14" s="410">
        <v>2302</v>
      </c>
      <c r="H14" s="1081"/>
    </row>
    <row r="15" spans="2:8" x14ac:dyDescent="0.3">
      <c r="B15" s="284" t="s">
        <v>354</v>
      </c>
      <c r="C15" s="410"/>
      <c r="D15" s="410"/>
      <c r="E15" s="410"/>
      <c r="F15" s="1082"/>
      <c r="G15" s="410">
        <v>2798</v>
      </c>
      <c r="H15" s="1081"/>
    </row>
    <row r="16" spans="2:8" x14ac:dyDescent="0.3">
      <c r="B16" s="284" t="s">
        <v>369</v>
      </c>
      <c r="C16" s="410"/>
      <c r="D16" s="410"/>
      <c r="E16" s="410"/>
      <c r="F16" s="410"/>
      <c r="G16" s="410">
        <v>2287</v>
      </c>
      <c r="H16" s="1081"/>
    </row>
    <row r="17" spans="2:8" x14ac:dyDescent="0.3">
      <c r="B17" s="284"/>
      <c r="C17" s="410"/>
      <c r="D17" s="410"/>
      <c r="E17" s="410"/>
      <c r="F17" s="410"/>
      <c r="G17" s="1082"/>
      <c r="H17" s="1081"/>
    </row>
    <row r="18" spans="2:8" x14ac:dyDescent="0.3">
      <c r="B18" s="413" t="s">
        <v>672</v>
      </c>
      <c r="C18" s="410"/>
      <c r="D18" s="410"/>
      <c r="E18" s="410"/>
      <c r="F18" s="410"/>
      <c r="G18" s="410"/>
      <c r="H18" s="1081"/>
    </row>
    <row r="19" spans="2:8" x14ac:dyDescent="0.3">
      <c r="B19" s="1108" t="str">
        <f>'3° P'!D44</f>
        <v>AGNES DANIELLE JIMENEZ CALDERON</v>
      </c>
      <c r="C19" s="410"/>
      <c r="D19" s="410"/>
      <c r="E19" s="410">
        <v>2686</v>
      </c>
      <c r="F19" s="410"/>
      <c r="G19" s="410">
        <v>2686</v>
      </c>
      <c r="H19" s="1081"/>
    </row>
    <row r="20" spans="2:8" x14ac:dyDescent="0.3">
      <c r="B20" s="284" t="s">
        <v>334</v>
      </c>
      <c r="C20" s="410"/>
      <c r="D20" s="410"/>
      <c r="E20" s="410">
        <v>2686</v>
      </c>
      <c r="F20" s="410"/>
      <c r="G20" s="410"/>
      <c r="H20" s="1081"/>
    </row>
    <row r="21" spans="2:8" x14ac:dyDescent="0.3">
      <c r="B21" s="284" t="str">
        <f>'3° P'!D65</f>
        <v xml:space="preserve">KAREN ITZEL VÉLAZQUEZ JIMENEZ </v>
      </c>
      <c r="C21" s="410"/>
      <c r="D21" s="410"/>
      <c r="E21" s="410">
        <v>2686</v>
      </c>
      <c r="F21" s="410">
        <v>2686</v>
      </c>
      <c r="G21" s="410">
        <v>2686</v>
      </c>
      <c r="H21" s="1081"/>
    </row>
    <row r="22" spans="2:8" x14ac:dyDescent="0.3">
      <c r="B22" s="284"/>
      <c r="C22" s="410"/>
      <c r="D22" s="410"/>
      <c r="E22" s="410"/>
      <c r="F22" s="410"/>
      <c r="G22" s="410"/>
      <c r="H22" s="1081"/>
    </row>
    <row r="23" spans="2:8" x14ac:dyDescent="0.3">
      <c r="B23" s="413" t="s">
        <v>673</v>
      </c>
      <c r="C23" s="410"/>
      <c r="D23" s="410"/>
      <c r="E23" s="410"/>
      <c r="F23" s="410"/>
      <c r="G23" s="410"/>
      <c r="H23" s="1081"/>
    </row>
    <row r="24" spans="2:8" x14ac:dyDescent="0.3">
      <c r="B24" s="1108" t="str">
        <f>'4°P'!D34</f>
        <v>EMILIANO NARVAEZ MARTINEZ</v>
      </c>
      <c r="C24" s="410"/>
      <c r="D24" s="410"/>
      <c r="E24" s="410"/>
      <c r="F24" s="410"/>
      <c r="G24" s="410">
        <v>2239</v>
      </c>
      <c r="H24" s="1081"/>
    </row>
    <row r="25" spans="2:8" x14ac:dyDescent="0.3">
      <c r="B25" s="1108" t="str">
        <f>'4°P'!D37</f>
        <v>JOSE MARIA MARTINEZ TADEO</v>
      </c>
      <c r="C25" s="410"/>
      <c r="D25" s="410"/>
      <c r="E25" s="410"/>
      <c r="F25" s="410">
        <v>2683</v>
      </c>
      <c r="G25" s="410">
        <v>2623</v>
      </c>
      <c r="H25" s="1081"/>
    </row>
    <row r="26" spans="2:8" x14ac:dyDescent="0.3">
      <c r="B26" s="284" t="s">
        <v>407</v>
      </c>
      <c r="C26" s="410"/>
      <c r="D26" s="410"/>
      <c r="E26" s="410"/>
      <c r="F26" s="410">
        <v>2680</v>
      </c>
      <c r="G26" s="410">
        <v>2680</v>
      </c>
      <c r="H26" s="1081"/>
    </row>
    <row r="27" spans="2:8" x14ac:dyDescent="0.3">
      <c r="B27" s="284" t="s">
        <v>408</v>
      </c>
      <c r="C27" s="410"/>
      <c r="D27" s="410"/>
      <c r="E27" s="410"/>
      <c r="F27" s="410">
        <v>2680</v>
      </c>
      <c r="G27" s="410">
        <v>2680</v>
      </c>
      <c r="H27" s="1081"/>
    </row>
    <row r="28" spans="2:8" x14ac:dyDescent="0.3">
      <c r="B28" s="284"/>
      <c r="C28" s="410"/>
      <c r="D28" s="410"/>
      <c r="E28" s="410"/>
      <c r="F28" s="410"/>
      <c r="G28" s="410"/>
      <c r="H28" s="1081"/>
    </row>
    <row r="29" spans="2:8" x14ac:dyDescent="0.3">
      <c r="B29" s="413" t="s">
        <v>674</v>
      </c>
      <c r="C29" s="410"/>
      <c r="D29" s="410"/>
      <c r="E29" s="410"/>
      <c r="F29" s="410"/>
      <c r="G29" s="410"/>
      <c r="H29" s="1081"/>
    </row>
    <row r="30" spans="2:8" x14ac:dyDescent="0.3">
      <c r="B30" s="284" t="s">
        <v>71</v>
      </c>
      <c r="C30" s="410"/>
      <c r="D30" s="410"/>
      <c r="E30" s="410"/>
      <c r="F30" s="1082"/>
      <c r="G30" s="410">
        <v>2879</v>
      </c>
      <c r="H30" s="1081"/>
    </row>
    <row r="31" spans="2:8" x14ac:dyDescent="0.3">
      <c r="B31" s="284"/>
      <c r="C31" s="410"/>
      <c r="D31" s="410"/>
      <c r="E31" s="410"/>
      <c r="F31" s="410"/>
      <c r="G31" s="410"/>
      <c r="H31" s="1081"/>
    </row>
    <row r="32" spans="2:8" x14ac:dyDescent="0.3">
      <c r="B32" s="413" t="s">
        <v>675</v>
      </c>
      <c r="C32" s="410"/>
      <c r="D32" s="410"/>
      <c r="E32" s="410"/>
      <c r="F32" s="410"/>
      <c r="G32" s="410"/>
      <c r="H32" s="1081"/>
    </row>
    <row r="33" spans="2:8" x14ac:dyDescent="0.3">
      <c r="B33" s="284" t="s">
        <v>363</v>
      </c>
      <c r="C33" s="1083"/>
      <c r="D33" s="1083"/>
      <c r="E33" s="410">
        <v>2200</v>
      </c>
      <c r="F33" s="410">
        <v>2200</v>
      </c>
      <c r="G33" s="410">
        <v>2200</v>
      </c>
      <c r="H33" s="1081"/>
    </row>
    <row r="34" spans="2:8" x14ac:dyDescent="0.3">
      <c r="B34" s="284" t="s">
        <v>365</v>
      </c>
      <c r="C34" s="410"/>
      <c r="D34" s="410"/>
      <c r="E34" s="1082"/>
      <c r="F34" s="1082"/>
      <c r="G34" s="410">
        <v>2395</v>
      </c>
      <c r="H34" s="1081"/>
    </row>
    <row r="35" spans="2:8" x14ac:dyDescent="0.3">
      <c r="B35" s="284"/>
      <c r="C35" s="410"/>
      <c r="D35" s="410"/>
      <c r="E35" s="410"/>
      <c r="F35" s="410"/>
      <c r="G35" s="410"/>
      <c r="H35" s="1081"/>
    </row>
    <row r="36" spans="2:8" x14ac:dyDescent="0.3">
      <c r="B36" s="413" t="s">
        <v>676</v>
      </c>
      <c r="C36" s="410"/>
      <c r="D36" s="410"/>
      <c r="E36" s="410"/>
      <c r="F36" s="410"/>
      <c r="G36" s="410"/>
      <c r="H36" s="1081"/>
    </row>
    <row r="37" spans="2:8" x14ac:dyDescent="0.3">
      <c r="B37" s="284" t="s">
        <v>79</v>
      </c>
      <c r="C37" s="410"/>
      <c r="D37" s="410"/>
      <c r="E37" s="410"/>
      <c r="F37" s="410">
        <v>2874</v>
      </c>
      <c r="G37" s="410">
        <v>2874</v>
      </c>
      <c r="H37" s="389" t="s">
        <v>713</v>
      </c>
    </row>
    <row r="38" spans="2:8" x14ac:dyDescent="0.3">
      <c r="B38" s="284" t="str">
        <f>'1°S'!D48</f>
        <v>KENDRA ALEXANDRA PEREZ CRUZ</v>
      </c>
      <c r="C38" s="410"/>
      <c r="D38" s="410"/>
      <c r="E38" s="410"/>
      <c r="F38" s="410"/>
      <c r="G38" s="410">
        <v>2309</v>
      </c>
      <c r="H38" s="1081"/>
    </row>
    <row r="39" spans="2:8" x14ac:dyDescent="0.3">
      <c r="B39" s="284"/>
      <c r="C39" s="410"/>
      <c r="D39" s="410"/>
      <c r="E39" s="410"/>
      <c r="F39" s="410"/>
      <c r="G39" s="410"/>
      <c r="H39" s="1081"/>
    </row>
    <row r="40" spans="2:8" x14ac:dyDescent="0.3">
      <c r="B40" s="413" t="s">
        <v>677</v>
      </c>
      <c r="C40" s="410"/>
      <c r="D40" s="410"/>
      <c r="E40" s="410"/>
      <c r="F40" s="410"/>
      <c r="G40" s="410"/>
      <c r="H40" s="1081"/>
    </row>
    <row r="41" spans="2:8" x14ac:dyDescent="0.3">
      <c r="B41" s="284" t="s">
        <v>231</v>
      </c>
      <c r="C41" s="1084"/>
      <c r="D41" s="1084"/>
      <c r="E41" s="1084"/>
      <c r="F41" s="410">
        <v>2890</v>
      </c>
      <c r="G41" s="410">
        <v>2890</v>
      </c>
      <c r="H41" s="1081"/>
    </row>
    <row r="42" spans="2:8" x14ac:dyDescent="0.3">
      <c r="B42" s="284" t="s">
        <v>294</v>
      </c>
      <c r="C42" s="410"/>
      <c r="D42" s="410"/>
      <c r="E42" s="410"/>
      <c r="F42" s="410">
        <v>2846</v>
      </c>
      <c r="G42" s="410">
        <v>2846</v>
      </c>
      <c r="H42" s="1081"/>
    </row>
    <row r="43" spans="2:8" x14ac:dyDescent="0.3">
      <c r="B43" s="284" t="str">
        <f>'2°S'!D55</f>
        <v>ADA MARIA TORRES JUAREZ</v>
      </c>
      <c r="C43" s="410"/>
      <c r="D43" s="410"/>
      <c r="E43" s="410"/>
      <c r="F43" s="410"/>
      <c r="G43" s="410">
        <v>2240</v>
      </c>
      <c r="H43" s="1081"/>
    </row>
    <row r="44" spans="2:8" x14ac:dyDescent="0.3">
      <c r="B44" s="284" t="s">
        <v>392</v>
      </c>
      <c r="C44" s="410"/>
      <c r="D44" s="410"/>
      <c r="E44" s="410">
        <v>2569</v>
      </c>
      <c r="F44" s="410">
        <v>2569</v>
      </c>
      <c r="G44" s="410">
        <v>2569</v>
      </c>
      <c r="H44" s="1081"/>
    </row>
    <row r="45" spans="2:8" x14ac:dyDescent="0.3">
      <c r="B45" s="284" t="s">
        <v>411</v>
      </c>
      <c r="C45" s="410"/>
      <c r="D45" s="410"/>
      <c r="E45" s="410"/>
      <c r="F45" s="410">
        <v>2370</v>
      </c>
      <c r="G45" s="410">
        <v>2370</v>
      </c>
      <c r="H45" s="1081"/>
    </row>
    <row r="46" spans="2:8" x14ac:dyDescent="0.3">
      <c r="B46" s="284" t="s">
        <v>684</v>
      </c>
      <c r="C46" s="410">
        <v>2770</v>
      </c>
      <c r="D46" s="410">
        <v>2770</v>
      </c>
      <c r="E46" s="410">
        <v>2770</v>
      </c>
      <c r="F46" s="410">
        <v>2770</v>
      </c>
      <c r="G46" s="410">
        <v>2770</v>
      </c>
      <c r="H46" s="389" t="s">
        <v>713</v>
      </c>
    </row>
    <row r="47" spans="2:8" x14ac:dyDescent="0.3">
      <c r="B47" s="284" t="s">
        <v>405</v>
      </c>
      <c r="C47" s="410"/>
      <c r="D47" s="410"/>
      <c r="E47" s="410"/>
      <c r="F47" s="410">
        <v>2569</v>
      </c>
      <c r="G47" s="410">
        <v>2569</v>
      </c>
      <c r="H47" s="1081"/>
    </row>
    <row r="48" spans="2:8" x14ac:dyDescent="0.3">
      <c r="B48" s="284" t="s">
        <v>462</v>
      </c>
      <c r="C48" s="410"/>
      <c r="D48" s="410"/>
      <c r="E48" s="410"/>
      <c r="F48" s="410"/>
      <c r="G48" s="410">
        <v>2705</v>
      </c>
      <c r="H48" s="1081"/>
    </row>
    <row r="49" spans="2:8" x14ac:dyDescent="0.3">
      <c r="B49" s="284"/>
      <c r="C49" s="410"/>
      <c r="D49" s="410"/>
      <c r="E49" s="410"/>
      <c r="F49" s="410"/>
      <c r="G49" s="410"/>
      <c r="H49" s="1081"/>
    </row>
    <row r="50" spans="2:8" x14ac:dyDescent="0.3">
      <c r="B50" s="413" t="s">
        <v>678</v>
      </c>
      <c r="C50" s="410"/>
      <c r="D50" s="410"/>
      <c r="E50" s="410"/>
      <c r="F50" s="410"/>
      <c r="G50" s="410"/>
      <c r="H50" s="1081"/>
    </row>
    <row r="51" spans="2:8" x14ac:dyDescent="0.3">
      <c r="B51" s="1108" t="str">
        <f>'3°S'!D34</f>
        <v>DAMARA GENOVEVA PRIMO MORALES</v>
      </c>
      <c r="C51" s="410"/>
      <c r="D51" s="410"/>
      <c r="E51" s="410"/>
      <c r="F51" s="410"/>
      <c r="G51" s="410">
        <v>2847</v>
      </c>
      <c r="H51" s="1081"/>
    </row>
    <row r="52" spans="2:8" x14ac:dyDescent="0.3">
      <c r="B52" s="284" t="s">
        <v>361</v>
      </c>
      <c r="C52" s="410">
        <v>2540</v>
      </c>
      <c r="D52" s="410">
        <v>2540</v>
      </c>
      <c r="E52" s="410">
        <v>2540</v>
      </c>
      <c r="F52" s="410">
        <v>2540</v>
      </c>
      <c r="G52" s="410">
        <v>2540</v>
      </c>
      <c r="H52" s="413" t="s">
        <v>713</v>
      </c>
    </row>
    <row r="53" spans="2:8" x14ac:dyDescent="0.3">
      <c r="B53" s="284" t="s">
        <v>385</v>
      </c>
      <c r="C53" s="410"/>
      <c r="D53" s="410"/>
      <c r="E53" s="410">
        <v>3246</v>
      </c>
      <c r="F53" s="410">
        <v>3246</v>
      </c>
      <c r="G53" s="410">
        <v>3246</v>
      </c>
      <c r="H53" s="389" t="s">
        <v>713</v>
      </c>
    </row>
    <row r="54" spans="2:8" x14ac:dyDescent="0.3">
      <c r="B54" s="284" t="s">
        <v>428</v>
      </c>
      <c r="C54" s="410"/>
      <c r="D54" s="410"/>
      <c r="E54" s="410">
        <v>3048</v>
      </c>
      <c r="F54" s="410">
        <v>3048</v>
      </c>
      <c r="G54" s="410">
        <v>3048</v>
      </c>
      <c r="H54" s="389" t="s">
        <v>713</v>
      </c>
    </row>
    <row r="55" spans="2:8" x14ac:dyDescent="0.3">
      <c r="B55" s="284" t="s">
        <v>429</v>
      </c>
      <c r="C55" s="410">
        <v>2386</v>
      </c>
      <c r="D55" s="410">
        <v>2386</v>
      </c>
      <c r="E55" s="410">
        <v>2386</v>
      </c>
      <c r="F55" s="410">
        <v>2386</v>
      </c>
      <c r="G55" s="410">
        <v>2386</v>
      </c>
      <c r="H55" s="389" t="s">
        <v>713</v>
      </c>
    </row>
    <row r="56" spans="2:8" x14ac:dyDescent="0.3">
      <c r="B56" s="284"/>
      <c r="C56" s="410"/>
      <c r="D56" s="410"/>
      <c r="E56" s="410"/>
      <c r="F56" s="410"/>
      <c r="G56" s="410"/>
      <c r="H56" s="1081"/>
    </row>
    <row r="57" spans="2:8" x14ac:dyDescent="0.3">
      <c r="B57" s="1109" t="s">
        <v>679</v>
      </c>
      <c r="C57" s="411">
        <f>SUM(C5:C56)</f>
        <v>7696</v>
      </c>
      <c r="D57" s="411">
        <f>SUM(D5:D56)</f>
        <v>7696</v>
      </c>
      <c r="E57" s="411">
        <f>SUM(E5:E56)</f>
        <v>31971</v>
      </c>
      <c r="F57" s="411">
        <f>SUM(F5:F56)</f>
        <v>48427</v>
      </c>
      <c r="G57" s="411">
        <f>SUM(G5:G56)</f>
        <v>83191</v>
      </c>
      <c r="H57" s="1081"/>
    </row>
    <row r="58" spans="2:8" x14ac:dyDescent="0.3">
      <c r="B58" s="284"/>
      <c r="C58" s="389"/>
      <c r="D58" s="389"/>
      <c r="E58" s="389"/>
      <c r="F58" s="389"/>
      <c r="G58" s="389"/>
      <c r="H58" s="1081"/>
    </row>
    <row r="59" spans="2:8" x14ac:dyDescent="0.3">
      <c r="B59" s="1110" t="s">
        <v>680</v>
      </c>
      <c r="C59" s="389"/>
      <c r="D59" s="389"/>
      <c r="E59" s="389"/>
      <c r="F59" s="1081"/>
      <c r="G59" s="1085">
        <f>C57+D57+E57+F57+G57</f>
        <v>178981</v>
      </c>
      <c r="H59" s="1081"/>
    </row>
  </sheetData>
  <mergeCells count="1">
    <mergeCell ref="B2:H2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  <legacyDrawing r:id="rId3"/>
  <controls>
    <mc:AlternateContent xmlns:mc="http://schemas.openxmlformats.org/markup-compatibility/2006">
      <mc:Choice Requires="x14">
        <control shapeId="58370" r:id="rId4" name="Control 2">
          <controlPr defaultSize="0" r:id="rId5">
            <anchor moveWithCells="1">
              <from>
                <xdr:col>3</xdr:col>
                <xdr:colOff>167640</xdr:colOff>
                <xdr:row>37</xdr:row>
                <xdr:rowOff>114300</xdr:rowOff>
              </from>
              <to>
                <xdr:col>3</xdr:col>
                <xdr:colOff>396240</xdr:colOff>
                <xdr:row>38</xdr:row>
                <xdr:rowOff>175260</xdr:rowOff>
              </to>
            </anchor>
          </controlPr>
        </control>
      </mc:Choice>
      <mc:Fallback>
        <control shapeId="58370" r:id="rId4" name="Control 2"/>
      </mc:Fallback>
    </mc:AlternateContent>
    <mc:AlternateContent xmlns:mc="http://schemas.openxmlformats.org/markup-compatibility/2006">
      <mc:Choice Requires="x14">
        <control shapeId="58369" r:id="rId6" name="Control 1">
          <controlPr defaultSize="0" r:id="rId7">
            <anchor moveWithCells="1">
              <from>
                <xdr:col>3</xdr:col>
                <xdr:colOff>167640</xdr:colOff>
                <xdr:row>37</xdr:row>
                <xdr:rowOff>114300</xdr:rowOff>
              </from>
              <to>
                <xdr:col>3</xdr:col>
                <xdr:colOff>396240</xdr:colOff>
                <xdr:row>38</xdr:row>
                <xdr:rowOff>175260</xdr:rowOff>
              </to>
            </anchor>
          </controlPr>
        </control>
      </mc:Choice>
      <mc:Fallback>
        <control shapeId="58369" r:id="rId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</vt:i4>
      </vt:variant>
    </vt:vector>
  </HeadingPairs>
  <TitlesOfParts>
    <vt:vector size="19" baseType="lpstr">
      <vt:lpstr>1°K</vt:lpstr>
      <vt:lpstr>2°K</vt:lpstr>
      <vt:lpstr>3°K</vt:lpstr>
      <vt:lpstr>1°P</vt:lpstr>
      <vt:lpstr>2°P</vt:lpstr>
      <vt:lpstr>3° P</vt:lpstr>
      <vt:lpstr>4°P</vt:lpstr>
      <vt:lpstr>5°P</vt:lpstr>
      <vt:lpstr>6°P</vt:lpstr>
      <vt:lpstr>1°S</vt:lpstr>
      <vt:lpstr>2°S</vt:lpstr>
      <vt:lpstr>3°S</vt:lpstr>
      <vt:lpstr>1-2°B</vt:lpstr>
      <vt:lpstr>3-4°B</vt:lpstr>
      <vt:lpstr>5-6°B</vt:lpstr>
      <vt:lpstr>MATRICULA</vt:lpstr>
      <vt:lpstr>CONTROL FACTURACION</vt:lpstr>
      <vt:lpstr>ADEUDOS</vt:lpstr>
      <vt:lpstr>ADEUDOS!Área_de_impresión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Primaria</dc:creator>
  <cp:lastModifiedBy>Colegio San Diego</cp:lastModifiedBy>
  <cp:lastPrinted>2026-06-26T17:01:48Z</cp:lastPrinted>
  <dcterms:created xsi:type="dcterms:W3CDTF">2024-01-16T09:22:10Z</dcterms:created>
  <dcterms:modified xsi:type="dcterms:W3CDTF">2026-07-07T16:52:35Z</dcterms:modified>
</cp:coreProperties>
</file>